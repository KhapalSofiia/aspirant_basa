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t\OneDrive\Рабочий стол\"/>
    </mc:Choice>
  </mc:AlternateContent>
  <xr:revisionPtr revIDLastSave="0" documentId="13_ncr:1_{06158D79-0F68-4672-9A03-A79294864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2 (копия)" sheetId="3" r:id="rId3"/>
  </sheets>
  <definedNames>
    <definedName name="_xlnm._FilterDatabase" localSheetId="0" hidden="1">Лист1!$A$1:$Y$559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2" i="1" l="1"/>
  <c r="V537" i="1"/>
  <c r="V531" i="1"/>
  <c r="V500" i="1"/>
  <c r="V472" i="1"/>
  <c r="V463" i="1"/>
  <c r="V455" i="1"/>
  <c r="V454" i="1"/>
  <c r="V386" i="1"/>
  <c r="V356" i="1"/>
  <c r="V351" i="1"/>
  <c r="V338" i="1"/>
  <c r="V334" i="1"/>
  <c r="V332" i="1"/>
  <c r="V331" i="1"/>
  <c r="V329" i="1"/>
  <c r="V328" i="1"/>
  <c r="V320" i="1"/>
  <c r="V315" i="1"/>
  <c r="V295" i="1"/>
  <c r="V294" i="1"/>
  <c r="V285" i="1"/>
  <c r="V268" i="1"/>
  <c r="V209" i="1"/>
  <c r="V199" i="1"/>
  <c r="V198" i="1"/>
  <c r="V164" i="1"/>
  <c r="V152" i="1"/>
  <c r="V151" i="1"/>
  <c r="V149" i="1"/>
  <c r="V143" i="1"/>
  <c r="V138" i="1"/>
  <c r="V136" i="1"/>
  <c r="V126" i="1"/>
  <c r="V111" i="1"/>
  <c r="V103" i="1"/>
  <c r="V84" i="1"/>
  <c r="V73" i="1"/>
  <c r="V69" i="1"/>
  <c r="V56" i="1"/>
  <c r="V50" i="1"/>
  <c r="V46" i="1"/>
  <c r="V41" i="1"/>
  <c r="V31" i="1"/>
  <c r="V24" i="1"/>
  <c r="V3" i="1"/>
</calcChain>
</file>

<file path=xl/sharedStrings.xml><?xml version="1.0" encoding="utf-8"?>
<sst xmlns="http://schemas.openxmlformats.org/spreadsheetml/2006/main" count="7164" uniqueCount="2231">
  <si>
    <t>ПІБ</t>
  </si>
  <si>
    <t>Статус</t>
  </si>
  <si>
    <t>Статус (навч, академ, поза аспір, догляд за дит., іноземц)</t>
  </si>
  <si>
    <t>Спеціальність</t>
  </si>
  <si>
    <t>Кафедра навчання</t>
  </si>
  <si>
    <t>атестація лютий/квітень 2025</t>
  </si>
  <si>
    <t>Наукові керівники</t>
  </si>
  <si>
    <t>Рік навчання</t>
  </si>
  <si>
    <t>Дата вступу</t>
  </si>
  <si>
    <t>Дата закінчен</t>
  </si>
  <si>
    <t>Форма навчання</t>
  </si>
  <si>
    <t>Бюджет /контракт</t>
  </si>
  <si>
    <t>E-mail ХНУРЕ</t>
  </si>
  <si>
    <t>наказ про  зарахування</t>
  </si>
  <si>
    <t>Пед практика</t>
  </si>
  <si>
    <t>Тема роботи</t>
  </si>
  <si>
    <t>наказ  про  відрахування</t>
  </si>
  <si>
    <t xml:space="preserve">причина відрахування </t>
  </si>
  <si>
    <t>накази інші (примітка)</t>
  </si>
  <si>
    <t>Стать</t>
  </si>
  <si>
    <t>Дата народження</t>
  </si>
  <si>
    <t>Телефон</t>
  </si>
  <si>
    <t>Який ВНЗ закінчив</t>
  </si>
  <si>
    <t>Коли закінчив ВНЗ</t>
  </si>
  <si>
    <t>атестація осінь 2025</t>
  </si>
  <si>
    <t>Абросімов Єгор Олегович</t>
  </si>
  <si>
    <t>навчається</t>
  </si>
  <si>
    <t xml:space="preserve">аспірант </t>
  </si>
  <si>
    <t>МСТ</t>
  </si>
  <si>
    <t>очна(денна)</t>
  </si>
  <si>
    <t>Бюджет</t>
  </si>
  <si>
    <t>№3 18.09.25р.</t>
  </si>
  <si>
    <t>Абросімов Максим Олегович</t>
  </si>
  <si>
    <t>ШІ</t>
  </si>
  <si>
    <t>Шевченко О.Ю.</t>
  </si>
  <si>
    <t>контракт</t>
  </si>
  <si>
    <t>maksym.abrosimov@nure.ua</t>
  </si>
  <si>
    <t>17А 28.04.2023</t>
  </si>
  <si>
    <t>Методи та моделі вдосконалення нейронних мереж типу cGAN, що базуються на використанні еволюційних алгоритмів для створення систем автоматичного проектування програмного забезпечення</t>
  </si>
  <si>
    <t>чоловіча</t>
  </si>
  <si>
    <t>ХНУРЕ</t>
  </si>
  <si>
    <t>№2 23.09.25р.</t>
  </si>
  <si>
    <t>Аколович Назар Сергійович</t>
  </si>
  <si>
    <t>F3</t>
  </si>
  <si>
    <t>nazar.akolovych@nure.ua</t>
  </si>
  <si>
    <t>№66А 29.09.2025</t>
  </si>
  <si>
    <t>Албасова Аліна Ігорівна</t>
  </si>
  <si>
    <t>відрахований</t>
  </si>
  <si>
    <t>акад відп до 31.08.2025</t>
  </si>
  <si>
    <t>Бодянський Є.В.</t>
  </si>
  <si>
    <t>бюджет</t>
  </si>
  <si>
    <t>alina.albasova@nure.ua</t>
  </si>
  <si>
    <t>23А 29/09/2022</t>
  </si>
  <si>
    <t>Згорткові матричні нейронні мережі та методи їх навчання</t>
  </si>
  <si>
    <t xml:space="preserve">№56А 05.09.2025 </t>
  </si>
  <si>
    <t>за невик індив навч плану (не вийшов з а\в)</t>
  </si>
  <si>
    <t>№48А 31.08.2024 а\в</t>
  </si>
  <si>
    <t>жіноча</t>
  </si>
  <si>
    <t>+380984368126 (+48887647233)</t>
  </si>
  <si>
    <t>Алєксєєв Василь Олександрович</t>
  </si>
  <si>
    <t>КРіСТЗІ</t>
  </si>
  <si>
    <t>№7 05.02.2025</t>
  </si>
  <si>
    <t>Грецьких Д. В.</t>
  </si>
  <si>
    <t>vasyl.alieksieiev@nure.ua</t>
  </si>
  <si>
    <t>№12А 28.02.2025</t>
  </si>
  <si>
    <t>Розвиток методів аналізу та оптимізації малопотужних систем безпроводової передачі енергії</t>
  </si>
  <si>
    <t>+380972748856</t>
  </si>
  <si>
    <t>Альхатіб Морозова(Преснякова) Анна Дмитрівна</t>
  </si>
  <si>
    <t xml:space="preserve">припинено </t>
  </si>
  <si>
    <t>догляд за дитин до 04.11.2026</t>
  </si>
  <si>
    <t>Грецьких Д.В.</t>
  </si>
  <si>
    <t>53А 22.09.2017</t>
  </si>
  <si>
    <t>№28А 20.05.2024 догляд за дитиною</t>
  </si>
  <si>
    <t>Андреас Данііл Вальтерович</t>
  </si>
  <si>
    <t>daniil.andreas@nure.ua</t>
  </si>
  <si>
    <t>Андрієвський Дмитрій Олександрович</t>
  </si>
  <si>
    <t>F2</t>
  </si>
  <si>
    <t>ПІ</t>
  </si>
  <si>
    <t>dmytrii.andriievskyi@nure.ua</t>
  </si>
  <si>
    <t>Андрусенко Юлія Олександрівна</t>
  </si>
  <si>
    <t>ЕОМ</t>
  </si>
  <si>
    <t>№3 07.02.2025</t>
  </si>
  <si>
    <t>Кучук Н.Г.</t>
  </si>
  <si>
    <t>заочна</t>
  </si>
  <si>
    <t>yuliia.andrusenko@nure.ua</t>
  </si>
  <si>
    <t>45А 26.09.2023</t>
  </si>
  <si>
    <t>Методи розподілу ресурсів в нестаціонарних розподілених гетерогенних обчислювальних середовищах</t>
  </si>
  <si>
    <t>№26А 26.04.2024 зміна Кучук на Фесенко, №58А 12.09.2025 зміна Фесенко на Кучук</t>
  </si>
  <si>
    <t>№18 24.09.25р.</t>
  </si>
  <si>
    <t>Андрущенко Марко Артемович</t>
  </si>
  <si>
    <t>БМІ</t>
  </si>
  <si>
    <t>Сєліванова К.Г.</t>
  </si>
  <si>
    <t>marko.andrushchenko@nure.ua</t>
  </si>
  <si>
    <t>Методи і засоби діагностики та реабілітації рухових розладів верхніх кінцівок на базі технологій комп’ютерного зору</t>
  </si>
  <si>
    <t>№3 22.09.25р.</t>
  </si>
  <si>
    <t>Антілікаторов Андрій Володимирович</t>
  </si>
  <si>
    <t>акад відп до 31.10.2025</t>
  </si>
  <si>
    <t>Золотухін О.В.</t>
  </si>
  <si>
    <t>andrii.antilikatorov@nure.ua</t>
  </si>
  <si>
    <t>Використання нейромережевих технологій обробки потокових даних в режимі реального часу</t>
  </si>
  <si>
    <t>№69А 29.10.2024 а\в з 01.11.2024</t>
  </si>
  <si>
    <t>+38-097-461-06-55</t>
  </si>
  <si>
    <t>Антіпін Вадим Сергійович</t>
  </si>
  <si>
    <t>F5</t>
  </si>
  <si>
    <t>БІТ</t>
  </si>
  <si>
    <t>vadym.antipin@nure.ua</t>
  </si>
  <si>
    <t>№2 24.09.25р.</t>
  </si>
  <si>
    <t>Антонов Данило Олегович</t>
  </si>
  <si>
    <t>КІТС</t>
  </si>
  <si>
    <t>Корабльов М.М.</t>
  </si>
  <si>
    <t>danylo.antonov@nure.ua</t>
  </si>
  <si>
    <t>Комп’ютеризована система аналізу акцій для прогнозування 
фінансового ринку</t>
  </si>
  <si>
    <t>№2 15.09.25р.</t>
  </si>
  <si>
    <t>Ануфрієв Валентин Валерійович</t>
  </si>
  <si>
    <t>G5</t>
  </si>
  <si>
    <t>МЕЕПП</t>
  </si>
  <si>
    <t>valentyn.anufriiev@nure.ua</t>
  </si>
  <si>
    <t xml:space="preserve">Аргунов Володимир Володимирович </t>
  </si>
  <si>
    <t>здобувач поза асп</t>
  </si>
  <si>
    <t>Рубан І.В.</t>
  </si>
  <si>
    <t>поза асп</t>
  </si>
  <si>
    <t>volodymyr.arhunov@nure.ua</t>
  </si>
  <si>
    <t>№68А 29.10.2024</t>
  </si>
  <si>
    <t>Афанасьєв Анатолій Сергійович</t>
  </si>
  <si>
    <t>ІНФ</t>
  </si>
  <si>
    <t>№9 04.02.2025</t>
  </si>
  <si>
    <t>Вечірська І.Д.</t>
  </si>
  <si>
    <t>anatolii.afanasiev@nure.ua</t>
  </si>
  <si>
    <t>55А 31.10.2023</t>
  </si>
  <si>
    <t>Побудова моделей класифікації текстів за допомогою нейромережевого підходу</t>
  </si>
  <si>
    <t>Афанасьєв Юрій Володимирович</t>
  </si>
  <si>
    <t>ІКІ</t>
  </si>
  <si>
    <t>№5 30.04.2025</t>
  </si>
  <si>
    <t>Лемешко О.В.</t>
  </si>
  <si>
    <t>yurii.afanasiev@nure.ua</t>
  </si>
  <si>
    <t>Моделі та методи створення IoT-екосистем з використанням нейронних мереж</t>
  </si>
  <si>
    <t>№9 22.09.25р.</t>
  </si>
  <si>
    <t>Ахмад Фаді Халєд</t>
  </si>
  <si>
    <t>КІТАР</t>
  </si>
  <si>
    <t>№26 10.02.2025</t>
  </si>
  <si>
    <t>Филипенко О.І.</t>
  </si>
  <si>
    <t xml:space="preserve">Бюджет </t>
  </si>
  <si>
    <t>fadi.akhmad@nure.ua</t>
  </si>
  <si>
    <t>№56А 26.09.2024</t>
  </si>
  <si>
    <t>Інтелектуальне керування безпілотним літальним апаратом в умовах невизначеності</t>
  </si>
  <si>
    <t>Ащепков Валерій Олегович</t>
  </si>
  <si>
    <t>ІВТ</t>
  </si>
  <si>
    <t>Скляров В.В.</t>
  </si>
  <si>
    <t>Вечірня</t>
  </si>
  <si>
    <t>valerii.ashchepkov@nure.ua</t>
  </si>
  <si>
    <t>31А 29/09/2020</t>
  </si>
  <si>
    <t>08А 02/03/2023</t>
  </si>
  <si>
    <t>№23А 27.03.2025</t>
  </si>
  <si>
    <t>№54А 30.10.2023 зміна Неєжмакова на Скляр.,№39А 01.07.2024 а\в, №82А 28.11.2024 вихід з а\в, №24А 27.03.2025 диплом PhD</t>
  </si>
  <si>
    <t>Бабанін Артем Олегович</t>
  </si>
  <si>
    <t>artem.babanin@nure.ua</t>
  </si>
  <si>
    <t>Бабиченко Сергій Васильович</t>
  </si>
  <si>
    <t>Галат О.Б.</t>
  </si>
  <si>
    <t>serhii.babychenko@nure.ua</t>
  </si>
  <si>
    <t>Засоби та моделі неруйнівного НВЧ контролю параметрів високоомних напівпровідникових структур</t>
  </si>
  <si>
    <t>№13 23.09.25р.</t>
  </si>
  <si>
    <t>Баданюк Ігор Олександрович</t>
  </si>
  <si>
    <t>Невлюдов І.Ш.</t>
  </si>
  <si>
    <t>ihor.badaniuk@nure.ua</t>
  </si>
  <si>
    <t>32А 30/09/2020</t>
  </si>
  <si>
    <t xml:space="preserve">№42А 30.06.2025 </t>
  </si>
  <si>
    <t>№39А 01.07.2024 а\в</t>
  </si>
  <si>
    <t>Бадєєв Валерій Олександрович</t>
  </si>
  <si>
    <t>Коляденко Ю.Ю.</t>
  </si>
  <si>
    <t>valerii.badieiev@nure.ua</t>
  </si>
  <si>
    <t>Моделі та методи розподіленого реагування на мережні атаки мереж 5G</t>
  </si>
  <si>
    <t>Бакін Сергій Володимирович</t>
  </si>
  <si>
    <t>Сніжко Д.В</t>
  </si>
  <si>
    <t>serhii.bakin@nure.ua</t>
  </si>
  <si>
    <t>Розумні електрохімічні сенсори</t>
  </si>
  <si>
    <t>Баранєй Дмитро Ігорович</t>
  </si>
  <si>
    <t>Філімончук Т.В.</t>
  </si>
  <si>
    <t>dmytro.baraniei@nure.ua</t>
  </si>
  <si>
    <t>Інформаційна технологія розподілу завдань на обчислювальні ресурси в розподілених системах</t>
  </si>
  <si>
    <t>Бараннік Валерій Володимирович</t>
  </si>
  <si>
    <t>ІМІ</t>
  </si>
  <si>
    <t>№11 04.02.2025</t>
  </si>
  <si>
    <t>Безрук В.М.</t>
  </si>
  <si>
    <t>valerii.barannik@nure.ua</t>
  </si>
  <si>
    <t>№52А 29.08.2025</t>
  </si>
  <si>
    <t>Метод біноміально-позиційного кодування відеоданих для підвищення ефективності інфокомунікаційних систем</t>
  </si>
  <si>
    <t>Бараннік Дмитро Володимирович</t>
  </si>
  <si>
    <t>dmytro.barannik@nure.ua</t>
  </si>
  <si>
    <t>Метод структурного стеганографічного перетворення для підвищення пропускної здатності прихованого каналу передачі даних</t>
  </si>
  <si>
    <t>№21А 27.03.2025</t>
  </si>
  <si>
    <t>№22А 27.03.2025 диплом PhD</t>
  </si>
  <si>
    <t>Батіг Владислав Васильович</t>
  </si>
  <si>
    <t>ЕК</t>
  </si>
  <si>
    <t>№8 06.02.2025</t>
  </si>
  <si>
    <t>Степаненко С.В.</t>
  </si>
  <si>
    <t>vladyslav.batih@nure.ua</t>
  </si>
  <si>
    <t>Управління розвитком підприємства в умовах становлення інклюзивної економіки</t>
  </si>
  <si>
    <t>Башилов Владислав Сергійович</t>
  </si>
  <si>
    <t>Горбачов В.О.</t>
  </si>
  <si>
    <t>vladyslav.bashylov@nure.ua</t>
  </si>
  <si>
    <t>Моделі та методи на базі штучного інтелекту для обробки інформації в туманних системах</t>
  </si>
  <si>
    <t>№74А 31.10.2024 признач Горбачова</t>
  </si>
  <si>
    <t>Башкатов Євген Олександрович</t>
  </si>
  <si>
    <t>ПМ</t>
  </si>
  <si>
    <t>доц. Ламтюгова С.М.</t>
  </si>
  <si>
    <t>yevhen.bashkatov@nure.ua</t>
  </si>
  <si>
    <t>Методи вейвлет-перетворення для аналізу, прогнозування та класифікації нестаціонарних часових рядів із застосуванням машинного навчання</t>
  </si>
  <si>
    <t>№74А 31.10.2024 признач Ламтюгової</t>
  </si>
  <si>
    <t>Безродний Владислав В'ячеславович</t>
  </si>
  <si>
    <t>Гусарова І.Г.</t>
  </si>
  <si>
    <t>vladyslav.bezrodnyi@nure.ua</t>
  </si>
  <si>
    <t>№57А 30.09.2024</t>
  </si>
  <si>
    <t>Розпізнавання та реконструкція тривимірних сцен та об’єктів в задачах комп’ютерного зору у реальному часі</t>
  </si>
  <si>
    <t>Безсонов Микола Віталійович</t>
  </si>
  <si>
    <t>mykola.bezsonov@nure.ua</t>
  </si>
  <si>
    <t>Бешинський Дмитро Юрійович</t>
  </si>
  <si>
    <t>ФОЕТ</t>
  </si>
  <si>
    <t>доц. Гнатенко О.С.</t>
  </si>
  <si>
    <t>dmytro.beshynskyi@nure.ua</t>
  </si>
  <si>
    <t>Оптичні сенсори з використанням наноматеріалів у технологіях моніторингу якості автомобільних компонентів</t>
  </si>
  <si>
    <t>№12 19.09.25р.</t>
  </si>
  <si>
    <t>Бєлоусов Олексій Геннадійович</t>
  </si>
  <si>
    <t>oleksii.bielousov@nure.ua</t>
  </si>
  <si>
    <t>Бєсова Анна Олексіївна</t>
  </si>
  <si>
    <t>anna.biesova@nure.ua</t>
  </si>
  <si>
    <t>Бизкровний Олександр Миколайович</t>
  </si>
  <si>
    <t>Смеляков С.В.</t>
  </si>
  <si>
    <t>oleksandr.byzkrovnyi@nure.ua</t>
  </si>
  <si>
    <t>Методи моніторингу поведінки водія та попередження небезпечних ситуацій під час дорожнього руху</t>
  </si>
  <si>
    <t>+380664853362</t>
  </si>
  <si>
    <t>Бібічков Ігор Євгенович</t>
  </si>
  <si>
    <t>ihor.bibichkov@nure.ua</t>
  </si>
  <si>
    <t>Інтелектуальна модель та методи управління корпоративною пам’яттю</t>
  </si>
  <si>
    <t>Білецький Павло Миколайович</t>
  </si>
  <si>
    <t>доц. Галат О.Б.</t>
  </si>
  <si>
    <t>pavlo.biletskyi@nure.ua</t>
  </si>
  <si>
    <t>Колориметричні методи та засоби для вимірювання параметрів біологічних об’єктів</t>
  </si>
  <si>
    <t>Білик Олександр Сергійович</t>
  </si>
  <si>
    <t>№2 06.02.2025</t>
  </si>
  <si>
    <t>Мартинчук О.О.</t>
  </si>
  <si>
    <t>oleksandr.bilyk@nure.ua</t>
  </si>
  <si>
    <t>Методи виявлення малопомітних цілей завдяки використанню ортогонально-поляризованих шумоподібних радіосигналів</t>
  </si>
  <si>
    <t>+380957372299</t>
  </si>
  <si>
    <t>Білобородов Артем Андрійович</t>
  </si>
  <si>
    <t>Першина Ю.І.</t>
  </si>
  <si>
    <t>artem.biloborodov@nure.ua</t>
  </si>
  <si>
    <t>Наближення функцій двох змінних за допомогою сплайн інтерлінації зі збереженням потрібного класу диференційовності</t>
  </si>
  <si>
    <t>№07А 31.01.2024 зміна керівн</t>
  </si>
  <si>
    <t>Білоус Василь Віталійович</t>
  </si>
  <si>
    <t>АПОТ</t>
  </si>
  <si>
    <t>№9 07.02.2025</t>
  </si>
  <si>
    <t>Хаханов В.І.</t>
  </si>
  <si>
    <t>vasyl.bilous@nure.ua</t>
  </si>
  <si>
    <t>Моделі та методи гібридних навігаційних систем на основі хмарних та бортових обчислень</t>
  </si>
  <si>
    <t>№11А 28.02.2025 за власним баж</t>
  </si>
  <si>
    <t xml:space="preserve">№60А 30.09.2024 Хаханова на Чумаченко </t>
  </si>
  <si>
    <t>+380951310783</t>
  </si>
  <si>
    <t>Білоусов Матвій Юрійович</t>
  </si>
  <si>
    <t>Косенко В.В.</t>
  </si>
  <si>
    <t>matvii.bilousov@nure.ua</t>
  </si>
  <si>
    <t>Методи підвищення ефективності проектування систем автоматизації</t>
  </si>
  <si>
    <t>Білоцерківець Олексій Геннадійович</t>
  </si>
  <si>
    <t>МТС</t>
  </si>
  <si>
    <t>Воргуль О.В.</t>
  </si>
  <si>
    <t>oleksii.bilotserkivets@nure.ua</t>
  </si>
  <si>
    <t>Комплексний метод поліпшення ефективності електронної системи на кристалі протидії несанкціонованому запису мови</t>
  </si>
  <si>
    <t>№2 19.09.25р.</t>
  </si>
  <si>
    <t>Близнюк Данило Сергійович</t>
  </si>
  <si>
    <t>Ромашов Ю.В.</t>
  </si>
  <si>
    <t>danylo.blyzniuk@nure.ua</t>
  </si>
  <si>
    <t>31А  27/09/2021</t>
  </si>
  <si>
    <t>14А 29.02.2024</t>
  </si>
  <si>
    <t>Методи та засоби оперативного контроля в процесі керування адитивним виробництвом за технологією 3D друку</t>
  </si>
  <si>
    <t>№40А 26.06.2025</t>
  </si>
  <si>
    <t>невикон індив плану наук роботи</t>
  </si>
  <si>
    <t>39А 01.09.2023 зміна кер</t>
  </si>
  <si>
    <t>096-926-63-08</t>
  </si>
  <si>
    <t>Бобнєв Роман Олександрович</t>
  </si>
  <si>
    <t>МІРЕС</t>
  </si>
  <si>
    <t>Карташов В.М.</t>
  </si>
  <si>
    <t>roman.bobniev@nure.ua</t>
  </si>
  <si>
    <t>Методи захисту від завад систем акустичного зондування атмосфери в умовах мегаполіса</t>
  </si>
  <si>
    <t>Бобровський Євгеній Максимович</t>
  </si>
  <si>
    <t>G7</t>
  </si>
  <si>
    <t>yevhenii.bobrovskyi@nure.ua</t>
  </si>
  <si>
    <t>Богаєнко Олександр Олександрович</t>
  </si>
  <si>
    <t>Курський Ю.</t>
  </si>
  <si>
    <t>oleksandr.bohaienko@nure.ua</t>
  </si>
  <si>
    <t>Оптоінформаційне забезпечення хаотичних систем зв'язку</t>
  </si>
  <si>
    <t>Богатов Віталій Олегович</t>
  </si>
  <si>
    <t>доц. Поляков А.О.</t>
  </si>
  <si>
    <t>vitalii.bohatov@nure.ua</t>
  </si>
  <si>
    <t>Методи та моделі оптимізації процесів діагностики першопричин у мікросервісній архітектурі на основі штучного інтелекту</t>
  </si>
  <si>
    <t>Богатов Євген Олегович</t>
  </si>
  <si>
    <t>ІУС</t>
  </si>
  <si>
    <t>№14 22.04.25р.</t>
  </si>
  <si>
    <t>Чала О.В.</t>
  </si>
  <si>
    <t>yevhen.bohatov@nure.ua</t>
  </si>
  <si>
    <t>Моделі, методи та інформаційна технологія побудови прототипів бізнес-процесів при впровадженні процесного управління</t>
  </si>
  <si>
    <t>№2 22.09.25р.</t>
  </si>
  <si>
    <t>Богомолов Олександр Євгенійович</t>
  </si>
  <si>
    <t>акад відп до 31.01.2025</t>
  </si>
  <si>
    <t>Смеляков К.С.</t>
  </si>
  <si>
    <t>oleksandr.bohomolov@nure.ua</t>
  </si>
  <si>
    <t>№07А 31.01.2025 не вийш з а\в</t>
  </si>
  <si>
    <t>№05А 22.01.2024 акад\відп</t>
  </si>
  <si>
    <t>Божко Іван Костянтинович</t>
  </si>
  <si>
    <t>Четвериков Г.Г.</t>
  </si>
  <si>
    <t>ivan.bozhko@nure.ua</t>
  </si>
  <si>
    <t>Методи та алгоритми квантовозахищеної криптографії</t>
  </si>
  <si>
    <t>Божко Олександр Юрійович</t>
  </si>
  <si>
    <t>№9 06.02.2025</t>
  </si>
  <si>
    <t>Петров К.Е.</t>
  </si>
  <si>
    <t>oleksandr.bozhko@nure.ua</t>
  </si>
  <si>
    <t>Моделі та методи прийняття рішень в задачах управління організаційними системами</t>
  </si>
  <si>
    <t>+380667184095</t>
  </si>
  <si>
    <t>Бойченко Сергій Валентинович</t>
  </si>
  <si>
    <t>Бондаренко І.М.</t>
  </si>
  <si>
    <t>serhii.boichenko@nure.ua</t>
  </si>
  <si>
    <t>Методи моделювання та аналізу процесів викривлення надкоротких радіоімпульсів в електронних системах</t>
  </si>
  <si>
    <t>0958703608</t>
  </si>
  <si>
    <t>Бондар Єгор Анатолійович</t>
  </si>
  <si>
    <t>СТ</t>
  </si>
  <si>
    <t xml:space="preserve">Саваневич В.Є. </t>
  </si>
  <si>
    <t>yehor.bondar@nure.ua</t>
  </si>
  <si>
    <t>Методи та інформаційні технології виявлення повітряних об’єктів оптичними засобами та прогнозування їх видимого руху</t>
  </si>
  <si>
    <t>Бондаренко Максим Едуардович</t>
  </si>
  <si>
    <t>№8 23.04.2025</t>
  </si>
  <si>
    <t>Іващенко Г.С.</t>
  </si>
  <si>
    <t>maksym.bondarenko@nure.ua</t>
  </si>
  <si>
    <t>Дослідження та розробка гібридних методів голосової ідентифікації</t>
  </si>
  <si>
    <t>Бородавка Артем Вадимович</t>
  </si>
  <si>
    <t>доц. Ликов Ю.В.</t>
  </si>
  <si>
    <t>artem.borodavka@nure.ua</t>
  </si>
  <si>
    <t>Методи та засоби підвищення дальності системи зв'язку з антенами з синтезованою апертурою при нерівномірному вертикальному русі</t>
  </si>
  <si>
    <t>Бортник Андрій Ігорович</t>
  </si>
  <si>
    <t>Фесенко Т.Г.</t>
  </si>
  <si>
    <t>andrii.bortnyk@nure.ua</t>
  </si>
  <si>
    <t>Модель та метод інформаційної технології використання засобів штучного інтелекту в системах управління ІТ проєктами</t>
  </si>
  <si>
    <t>Борщов Ілля Вячеславович</t>
  </si>
  <si>
    <t>illia.borshchov1@nure.ua</t>
  </si>
  <si>
    <t>Ботнар Павло Дмитрович</t>
  </si>
  <si>
    <t>доц. Янковський О.А.</t>
  </si>
  <si>
    <t>pavlo.botnar@nure.ua</t>
  </si>
  <si>
    <t>Модель та методи збільшення продуктивності комп'ютерної системи аналізу та обробки великих даних із застосуванням технології блокчейн</t>
  </si>
  <si>
    <t>Бохан Іван Анатолійович</t>
  </si>
  <si>
    <t>доц. Лихограй В.Г.</t>
  </si>
  <si>
    <t>ivan.bokhan@nure.ua</t>
  </si>
  <si>
    <t>Комплекс радіопеленгації безпілотних авіаційних систем тактичного рівня на основі програмно-визначеного радіо (SDR)</t>
  </si>
  <si>
    <t>Брестовицький Роман Миколайович</t>
  </si>
  <si>
    <t>Волк М.О.</t>
  </si>
  <si>
    <t>roman.brestovytskyi@nure.ua</t>
  </si>
  <si>
    <t>Моделі та методи розподілення ресурсів в системах хмарних обчислень</t>
  </si>
  <si>
    <t>Будянський Вадим Сергійович</t>
  </si>
  <si>
    <t>Овсюченко Ю.В.</t>
  </si>
  <si>
    <t>vadym.budianskyi@nure.ua</t>
  </si>
  <si>
    <t>Оцінка ефективності господарської діяльності підприємства в умовах невизначеності зовнішнього середовища</t>
  </si>
  <si>
    <t>Булгаков Єгор Ігорович</t>
  </si>
  <si>
    <t>дой. Лінник О.В.</t>
  </si>
  <si>
    <t>yehor.bulhakov@nure.ua</t>
  </si>
  <si>
    <t>Удосконалення методів синхронізації мод в нанолазерах</t>
  </si>
  <si>
    <t>№74А 31.10.2024 признач Лінник</t>
  </si>
  <si>
    <t>Бунтовський Владислав Сергійович</t>
  </si>
  <si>
    <t>доц. Лановой О.Ф.</t>
  </si>
  <si>
    <t>vladyslav.buntovskyi@nure.ua</t>
  </si>
  <si>
    <t>Розробка методів виявлення онкологічних захворювань за допомогою нейронних мереж на основі аналізу метаданих та знімків КТ</t>
  </si>
  <si>
    <t>Бухановський Володимир Олексійович</t>
  </si>
  <si>
    <t>Рябова Н.В.</t>
  </si>
  <si>
    <t>volodymyr.bukhanovskyi@nure.ua</t>
  </si>
  <si>
    <t>Методи та моделі трансферного навчання для вирішення задач комп’ютерного зору</t>
  </si>
  <si>
    <t>Заболотний Євген Олександрович</t>
  </si>
  <si>
    <t>G6</t>
  </si>
  <si>
    <t>yevhen.zabolotnyi@nure.ua</t>
  </si>
  <si>
    <t>Вакулік Євген Вікторович</t>
  </si>
  <si>
    <t>yevhen.vakulik@nure.ua</t>
  </si>
  <si>
    <t>Моделі та алгоритми високоточного оцінювання розмірів металевих сторонніх тіл в м’яких тканинах людини</t>
  </si>
  <si>
    <t>0975258337</t>
  </si>
  <si>
    <t>Бяллович Дмитро Юрійович</t>
  </si>
  <si>
    <t>№10 25.04.2025</t>
  </si>
  <si>
    <t>Дегтярьов О.В.</t>
  </si>
  <si>
    <t>dmytro.biallovych@nure.ua</t>
  </si>
  <si>
    <t>17А 28/04/2023 19А 01/05/2023</t>
  </si>
  <si>
    <t>Підвищення точності створення еталонної витратомірної установки рідини за допомогою паралельних витратомірів</t>
  </si>
  <si>
    <t>ХВВКІУРВ</t>
  </si>
  <si>
    <t>Варданян Карен Артурович</t>
  </si>
  <si>
    <t>G22</t>
  </si>
  <si>
    <t>karen.vardanian@nure.ua</t>
  </si>
  <si>
    <t>Василенко Остап Володимирович</t>
  </si>
  <si>
    <t>F4</t>
  </si>
  <si>
    <t>ostap.vasylenko@nure.ua</t>
  </si>
  <si>
    <t>Василець Олександр Олексійович</t>
  </si>
  <si>
    <t>oleksandr.vasylets@nure.ua</t>
  </si>
  <si>
    <t>Василишин Костянтин Володимирович</t>
  </si>
  <si>
    <t>Ламтюгова С.М.</t>
  </si>
  <si>
    <t>kostiantyn.vasylyshyn@nure.ua</t>
  </si>
  <si>
    <t>Двобічні ітераційні методи у чисельному аналізі задач нелінійної теплопровідності</t>
  </si>
  <si>
    <t>№48А 02.10.2023 Сидоров на Ламтюг.</t>
  </si>
  <si>
    <t>Васильєв Олександр Юрійович</t>
  </si>
  <si>
    <t>доц. Шкіль О.С.</t>
  </si>
  <si>
    <t>oleksandr.vasyliev1@nure.ua</t>
  </si>
  <si>
    <t>Моделі та методи оптимізації ресурсів програмованої логіки при дотриманні заданої точності визначення кута на джерело радіовипромінювання</t>
  </si>
  <si>
    <t>Васильєв Юрій Сергійович</t>
  </si>
  <si>
    <t>yurii.vasyliev@nure.ua</t>
  </si>
  <si>
    <t>Розробка та вдосконалення систем формування первинних інформаційних сигналів мікрохвильової зондової мікроскопії</t>
  </si>
  <si>
    <t>Велікан Олександр Валерійович</t>
  </si>
  <si>
    <t>доц. Ляшенко О.С.</t>
  </si>
  <si>
    <t>oleksandr.velikan@nure.ua</t>
  </si>
  <si>
    <t>Модель та методи обробки великих даних в інформаційних системах медичних установ</t>
  </si>
  <si>
    <t>Вербинський Руслан Ігорович</t>
  </si>
  <si>
    <t>F1</t>
  </si>
  <si>
    <t xml:space="preserve">ruslan.verbynskyi@nure.ua
</t>
  </si>
  <si>
    <t>Вешкін Євгеній Петрович</t>
  </si>
  <si>
    <t>Полозова Т.В.</t>
  </si>
  <si>
    <t>yevhenii.veshkin@nure.ua</t>
  </si>
  <si>
    <t>Механізм формування інвестиційного потенціалу підприємства в контексті економічної безпеки</t>
  </si>
  <si>
    <t>+380677414226</t>
  </si>
  <si>
    <t>НТУ ХПІ</t>
  </si>
  <si>
    <t>Вжеснєвський Максим Олегович</t>
  </si>
  <si>
    <t>Контракт</t>
  </si>
  <si>
    <t>maksym.vzhesnievskyi@nure.ua</t>
  </si>
  <si>
    <t>Моделі та методи автоматичного керування транспортувальними засобами-шатлами у складській логістиці</t>
  </si>
  <si>
    <t>№43А 01.07.2025</t>
  </si>
  <si>
    <t xml:space="preserve"> закінч навч,захист</t>
  </si>
  <si>
    <t>зміна теми від 29.11.24 № 16</t>
  </si>
  <si>
    <t>+38(099)986-99-50</t>
  </si>
  <si>
    <t>Винокур Олексій Олександрович</t>
  </si>
  <si>
    <t>Перова І.Г.</t>
  </si>
  <si>
    <t>oleksii.vynokur@nure.ua</t>
  </si>
  <si>
    <t>Моделі та методи визначення точки приземлення літального апарату за допомогою методів машинного навчання</t>
  </si>
  <si>
    <t>Виродов Костянтин Сергійович</t>
  </si>
  <si>
    <t>Бондарєв В.М.</t>
  </si>
  <si>
    <t>kostiantyn.vyrodov@nure.ua</t>
  </si>
  <si>
    <t>Методи виявлення мереж бот акаунтів у соціальних мережах</t>
  </si>
  <si>
    <t>№64А 26.09.2025</t>
  </si>
  <si>
    <t>за власним бажанням</t>
  </si>
  <si>
    <t>№33А 05.06.2024 зміна кер. Чуприна на Бондарєв</t>
  </si>
  <si>
    <t>+380 66 523 13 91</t>
  </si>
  <si>
    <t>Власюк Дмитро Андрійович</t>
  </si>
  <si>
    <t>dmytro.vlasiuk1@nure.ua</t>
  </si>
  <si>
    <t>Волоховський Віталій Євгенович</t>
  </si>
  <si>
    <t>Назаров О.С.</t>
  </si>
  <si>
    <t>vitalii.volokhovskyi@nure.ua</t>
  </si>
  <si>
    <t>Моделі та методи генерації договорів засобами гібридних нейронних мереж</t>
  </si>
  <si>
    <t>Вольгуст Максим Семенович</t>
  </si>
  <si>
    <t>Сердюк Н.М.</t>
  </si>
  <si>
    <t>maksym.volhust@nure.ua</t>
  </si>
  <si>
    <t>Нейронечіткі методи та засоби автоматизації безперервних процесів</t>
  </si>
  <si>
    <t>Вороненко Микита Дмитрович</t>
  </si>
  <si>
    <t>доц. Гибкіна Н.В.</t>
  </si>
  <si>
    <t>mykyta.voronenko@nure.ua</t>
  </si>
  <si>
    <t>Аналіз крайових задач для напівлінійних звичайних диференціальних рівнянь методом двосторонніх наближень</t>
  </si>
  <si>
    <t>Воронов Андрій Олександрович</t>
  </si>
  <si>
    <t>проф. Хаханов В.І.</t>
  </si>
  <si>
    <t>andrii.voronov@nure.ua</t>
  </si>
  <si>
    <t>Синтез логічного вектора цифрової схеми для отримання тестової карти</t>
  </si>
  <si>
    <t>Гаврашенко Антон Олегович</t>
  </si>
  <si>
    <t>Барковська О.Ю.</t>
  </si>
  <si>
    <t>anton.havrashenko@nure.ua</t>
  </si>
  <si>
    <t>Модель та метод інформаційної системи обробки текстових масивів</t>
  </si>
  <si>
    <t>+380977849447</t>
  </si>
  <si>
    <t>Гаврилов Дмитро Сергійович</t>
  </si>
  <si>
    <t xml:space="preserve">аспірант,поновлений </t>
  </si>
  <si>
    <t>Бараннік В.В.</t>
  </si>
  <si>
    <t>№33А 30.05.2025</t>
  </si>
  <si>
    <t>Галін Павло Костянтинович</t>
  </si>
  <si>
    <t>pavlo.halin@nure.ua</t>
  </si>
  <si>
    <t>Аналіз в’язких течій у багатозв’язних областях методом R-функцій</t>
  </si>
  <si>
    <t>Галушко Дмитро Євгенович</t>
  </si>
  <si>
    <t>доц. Носова Т.В.</t>
  </si>
  <si>
    <t>dmytro.halushko@nure.ua</t>
  </si>
  <si>
    <t>Методи та засоби автоматизованого визначення деформації стопи людини</t>
  </si>
  <si>
    <t>Гальченко Кирило Романович</t>
  </si>
  <si>
    <t>Кобилін О.А.</t>
  </si>
  <si>
    <t>kyrylo.halchenko@nure.ua</t>
  </si>
  <si>
    <t>Моделі та технології квантового аналізу зображення</t>
  </si>
  <si>
    <t>+380955973381</t>
  </si>
  <si>
    <t>Гапіченко Андрій Миколайович</t>
  </si>
  <si>
    <t>№9 14.02.2025</t>
  </si>
  <si>
    <t>Заболотний В.І.</t>
  </si>
  <si>
    <t>andrii.hapichenko@nure.ua</t>
  </si>
  <si>
    <t>Метод оцінки зон безпеки інформації по каналу побічних електромагнітних випромінювань монітору</t>
  </si>
  <si>
    <t>Гапон Андрій Олександрович</t>
  </si>
  <si>
    <t>Федорченко В.М.</t>
  </si>
  <si>
    <t>andrii.hapon@nure.ua</t>
  </si>
  <si>
    <t>13А 28.02.2019</t>
  </si>
  <si>
    <t>№13А 03.03.2025 закінч навч,невикон інд плану</t>
  </si>
  <si>
    <t>36А 31.08.2023 академ, №48А 30.08.2024 віхід з а\в, зміна на заочн</t>
  </si>
  <si>
    <t>Гапон Наталія Ярославівна</t>
  </si>
  <si>
    <t>Хорошайло Ю.Є.</t>
  </si>
  <si>
    <r>
      <rPr>
        <sz val="11"/>
        <color rgb="FF5E5E5E"/>
        <rFont val="Times New Roman"/>
      </rPr>
      <t>nataliia.zaichenko@nure.ua</t>
    </r>
  </si>
  <si>
    <t>Методи та моделі дефектоскопії філаменту виробів 3D друку</t>
  </si>
  <si>
    <t>№62А 23.09.2025</t>
  </si>
  <si>
    <t>закінч навч, захист</t>
  </si>
  <si>
    <t>Гапонов Єгор Юрійович</t>
  </si>
  <si>
    <t>Олейніков ВМ.</t>
  </si>
  <si>
    <t>yehor.haponov@nure.ua</t>
  </si>
  <si>
    <t>Підвищення ефективності оптико-електронних методів виявлення безпілотних літальних апаратів</t>
  </si>
  <si>
    <t>Гвоздєв Микита Ігорович</t>
  </si>
  <si>
    <t xml:space="preserve">аспірант,а\в до 31.05.2026 </t>
  </si>
  <si>
    <t>Сидоров М.В.</t>
  </si>
  <si>
    <t>mykyta.hvozdev@nure.ua</t>
  </si>
  <si>
    <t>Методи двобічних наближень в задачах математичного моделювання мікроелектромеханічних систем, що описуються рівняннями вищих порядків</t>
  </si>
  <si>
    <t>№32А 30.05.2025 а\в з 01.06.2025</t>
  </si>
  <si>
    <t>0958218592</t>
  </si>
  <si>
    <t>ХНУ</t>
  </si>
  <si>
    <t>Гвоздьов Роман Юрійович</t>
  </si>
  <si>
    <t xml:space="preserve">відрахований </t>
  </si>
  <si>
    <t>академ відпустка до 30.09.2025</t>
  </si>
  <si>
    <t>вечірня</t>
  </si>
  <si>
    <t>roman.hvozdov@nure.ua</t>
  </si>
  <si>
    <t>Метод побудови електронного підпису на основі багато параметричних груп</t>
  </si>
  <si>
    <t>№60А 30.09.2024</t>
  </si>
  <si>
    <t>+380996675689</t>
  </si>
  <si>
    <t xml:space="preserve">Герасимов Сергій Сергійович  </t>
  </si>
  <si>
    <t>serhii.herasymov@nure.ua</t>
  </si>
  <si>
    <t>Порогові умови в електродинамічній моделі генерації багатошарових мікролазерів</t>
  </si>
  <si>
    <t>Герасимюк Дмитро Юрійович</t>
  </si>
  <si>
    <t>доц. Ігуменцева Н.В.</t>
  </si>
  <si>
    <t>dmytro.herasymiuk@nure.ua</t>
  </si>
  <si>
    <t>Формування стратегії інноваційно-інвестиційного розвитку підприємства</t>
  </si>
  <si>
    <t>Глинянський Сергій Володимирович</t>
  </si>
  <si>
    <t>Каук В.І.</t>
  </si>
  <si>
    <t>serhii.hlynianskyi@nure.ua</t>
  </si>
  <si>
    <t>Методи та моделі захисту розподілених інформаційних систем</t>
  </si>
  <si>
    <t>Глухі Микита Андрійович</t>
  </si>
  <si>
    <t>mykyta.hlukhi@nure.ua</t>
  </si>
  <si>
    <t>Розробка та вдосконалення методів і засобів визначення вмісту вільної і зв’язаної води в біологічних об’єктах</t>
  </si>
  <si>
    <t>+380990010536</t>
  </si>
  <si>
    <t>Глушаєв Денис Ярославович</t>
  </si>
  <si>
    <t>denys.hlushaiev@nure.ua</t>
  </si>
  <si>
    <t>Методи адаптивного комбінованого навчання машин опорних векторів в задачах розпізнавання образів</t>
  </si>
  <si>
    <t>Гмиря Іван Олександрович</t>
  </si>
  <si>
    <t>Кравець Н.С.</t>
  </si>
  <si>
    <t>ivan.hmyria@nure.ua</t>
  </si>
  <si>
    <t>Дослідження та розробка методів масштабування для систем сегментації геометричних об’єктів у режимі реального часу із використанням хмарних технологій</t>
  </si>
  <si>
    <t>ГнібедаАртем Олександрович</t>
  </si>
  <si>
    <t>доц. Афанасьєва О.В.</t>
  </si>
  <si>
    <t>artem.hnibeda@nure.ua</t>
  </si>
  <si>
    <t>Удосконалення оптичних методів та систем зондування об`єктів у просторі</t>
  </si>
  <si>
    <t>№74А 31.10.2024 признач Афанасьєвої</t>
  </si>
  <si>
    <t>Голик Єгор Євгенович</t>
  </si>
  <si>
    <t>Ситніков Д.Є.</t>
  </si>
  <si>
    <t>yehor.holyk@nure.ua</t>
  </si>
  <si>
    <t>Метод комп’ютерного прогнозування попиту в центрах надання гуманітарної допомоги та його застосування в інформаційних системах</t>
  </si>
  <si>
    <t>Головатенко Сергій Валерійович</t>
  </si>
  <si>
    <t>Стрілкова Т.О.</t>
  </si>
  <si>
    <t>serhii.holovatenko@nure.ua</t>
  </si>
  <si>
    <t>Методи синтезу квазіоптимального виявлювача трас повітряних об’єктів запитальних радіолокаційних систем спостереження</t>
  </si>
  <si>
    <t>№74А 31.10.2024 признач Стрілкової</t>
  </si>
  <si>
    <t>Головко Євген Вікторович</t>
  </si>
  <si>
    <t>Федюшин О.І.</t>
  </si>
  <si>
    <t>yevhen.holovko1@nure.ua</t>
  </si>
  <si>
    <t>Методи стеганографії на основі квантових алгоритмів</t>
  </si>
  <si>
    <t>Головченко Олександр Сергійович</t>
  </si>
  <si>
    <t>F6</t>
  </si>
  <si>
    <t>oleksandr.holovchenko@nure.ua</t>
  </si>
  <si>
    <t>Голод Ігор Вікторович</t>
  </si>
  <si>
    <t>№36 28.04.2025</t>
  </si>
  <si>
    <t>Євсєєв В.В.</t>
  </si>
  <si>
    <t>ihor.holod@nure.ua</t>
  </si>
  <si>
    <t>Інтелектуальне керування мікрокліматом виробництва технічних засобів автоматизації</t>
  </si>
  <si>
    <t>ХАІ</t>
  </si>
  <si>
    <t>Гольдінер Денис Ігорович</t>
  </si>
  <si>
    <t>Матвієнко О.І.</t>
  </si>
  <si>
    <t>denys.holdiner@nure.ua</t>
  </si>
  <si>
    <t>№46А 26.08.2024</t>
  </si>
  <si>
    <t>№04А31.01.2025</t>
  </si>
  <si>
    <t>53А 12.10.2023 виход з догл за дтитн, зміна Тевяшева на Матв.54А 30.10.2023 акад\відп,№34А 13.06.2024 вихід з а\в, перехід з бюдж на контракт,№05А31.01.2025 диплом PhD</t>
  </si>
  <si>
    <t>Гончаренко Вадим Дмитрович</t>
  </si>
  <si>
    <t>Єсілевський В.С.</t>
  </si>
  <si>
    <t>vadym.honcharenko@nure.ua</t>
  </si>
  <si>
    <t>Енергоефективне управління автономними апаратами у тривимірному просторі</t>
  </si>
  <si>
    <t>Гордієнко Єгор Дмитрович</t>
  </si>
  <si>
    <t>yehor.hordiienko@nure.ua</t>
  </si>
  <si>
    <t>Горелов Олександр Юрійович</t>
  </si>
  <si>
    <t>oleksandr.horelov@nure.ua</t>
  </si>
  <si>
    <t>Оптимізація параметрів антен, що сфокусовані в зону Френеля</t>
  </si>
  <si>
    <t>Горенський Геннадій Геннадійович</t>
  </si>
  <si>
    <t>hennadii.horenskyi@nure.ua</t>
  </si>
  <si>
    <t>Метод навчання з підкріпленням в системах штучного інтелекту на основі альтернативних даних</t>
  </si>
  <si>
    <t>+380966037745</t>
  </si>
  <si>
    <t>ХНУ імені В.Н. Каразіна</t>
  </si>
  <si>
    <t>Горовий Кирило Юрійович</t>
  </si>
  <si>
    <t>kyrylo.horovyi@nure.ua</t>
  </si>
  <si>
    <t>Моделі та методи інтелектуального керування організаційно-технічними виробничими системами в рамках концепції Industry 4.0</t>
  </si>
  <si>
    <t>Гребенюк Микита Олександрович</t>
  </si>
  <si>
    <t>Ситнікова П. Е.</t>
  </si>
  <si>
    <t>mykyta.hrebeniuk@nure.ua</t>
  </si>
  <si>
    <t>Дослідження та розробка методів рекомендаційної системи з використанням алгоритмів нечіткої логіки та генетичного алгоритму</t>
  </si>
  <si>
    <t>+380984907895</t>
  </si>
  <si>
    <t>Гриньов Сергій Анатолійович</t>
  </si>
  <si>
    <t>Шергін В.Л.</t>
  </si>
  <si>
    <t>serhii.hrynov@nure.ua</t>
  </si>
  <si>
    <t>Дослідження структури зв’язків безмасштабних мереж з екстремальною асортативністю</t>
  </si>
  <si>
    <t>+380505988997</t>
  </si>
  <si>
    <t>Грицай Микита Олегович</t>
  </si>
  <si>
    <t>C1</t>
  </si>
  <si>
    <t>mykyta.hrytsai@nure.ua</t>
  </si>
  <si>
    <t xml:space="preserve">Гришков Святослав В’ячеславович </t>
  </si>
  <si>
    <t>Грицунов О.В.</t>
  </si>
  <si>
    <t>sviatoslav.hryshkov@nure.ua</t>
  </si>
  <si>
    <t>Особливості генерації та підсилення високоенергетичних широкосмугових і багаточастотних сигналів приладами М-типу</t>
  </si>
  <si>
    <t>Губарь Артем Юрійович</t>
  </si>
  <si>
    <t>artem.hubar@nure.ua</t>
  </si>
  <si>
    <t>21А 29.05.23 академ, №32А 29.05.2024 вихід з а\в</t>
  </si>
  <si>
    <t>Губочкін Віктор Ігорович</t>
  </si>
  <si>
    <t>Шафроненко А.Ю.</t>
  </si>
  <si>
    <t>viktor.hubochkin@nure.ua</t>
  </si>
  <si>
    <t>Дослідження та розробка багатофакторної біометричної автентифікації та ідентифікації</t>
  </si>
  <si>
    <t>+380939670912</t>
  </si>
  <si>
    <t>Гудзинський Іван Вікторович</t>
  </si>
  <si>
    <t>ivan.hudzynskyi@nure.ua</t>
  </si>
  <si>
    <t>Гулак Антон Сергійович</t>
  </si>
  <si>
    <t>anton.hulak@nure.ua</t>
  </si>
  <si>
    <t>Розпізнавання оптичних образів з використанням штучного інтелекту</t>
  </si>
  <si>
    <t>Гулієв Нурал Бахадур огли</t>
  </si>
  <si>
    <t>nural.huliiev@nure.ua</t>
  </si>
  <si>
    <t>Розробка методів попередження розвитку психічних розладів у людей з гіпотиреозом та гіпертиреозом</t>
  </si>
  <si>
    <t>Гунько Михайло Андрійович</t>
  </si>
  <si>
    <t>доц. Ткачов В.М.</t>
  </si>
  <si>
    <t>mykhailo.hunko@nure.ua</t>
  </si>
  <si>
    <t>Інформаційна технологія розроблення архітектур Fog-середовищ територіально розосередженої системи</t>
  </si>
  <si>
    <t>Гуртовий Олег Олександрович</t>
  </si>
  <si>
    <t>oleh.hurtovyi@nure.ua</t>
  </si>
  <si>
    <t>Методи та засоби підвищення ефективності автоматизованої системи контролю якості виробів радіоелектронної галузі</t>
  </si>
  <si>
    <t>31А 27.06.23 зміна керівника</t>
  </si>
  <si>
    <t>ХПІ</t>
  </si>
  <si>
    <t>Гусейнов Антон Джалільович</t>
  </si>
  <si>
    <t>Чумаков В.І.</t>
  </si>
  <si>
    <t>anton.huseinov@nure.ua</t>
  </si>
  <si>
    <t>Моделювання виділення регулярних сигналів із суміші з завадами та шумами з різними законами розподілу з використанням ефекту стохастичного резонансу</t>
  </si>
  <si>
    <t>Гущин Богдан-Данило Ігорович</t>
  </si>
  <si>
    <t>Халімов Г.З.</t>
  </si>
  <si>
    <t>bohdan-danylo.hushchyn@nure.ua</t>
  </si>
  <si>
    <t>Гомоморфні шифри, що стійкі до квантового криптоаналізу</t>
  </si>
  <si>
    <t>Д'яков Ян Русланович</t>
  </si>
  <si>
    <t>Ткачов В.М.</t>
  </si>
  <si>
    <t>yan.diakov@nure.ua</t>
  </si>
  <si>
    <t>08А 01.03.2022</t>
  </si>
  <si>
    <t>Розробка системи керування та візуалізації графів знань</t>
  </si>
  <si>
    <t>36А 31.08.2024 зміна кер, №10А 20.02.2024 а\в №11А 28.02.2025 вихід з а\в</t>
  </si>
  <si>
    <t>+380970329009</t>
  </si>
  <si>
    <t>Даниленко Станіслав Дмитрович</t>
  </si>
  <si>
    <t>stanislav.danylenko@nure.ua</t>
  </si>
  <si>
    <t>Моделі порівняння та пошуку файлів зображень у сховищах даних на основі структурованої інформації</t>
  </si>
  <si>
    <t>+380667454619</t>
  </si>
  <si>
    <t>Дараган Дмитро Миколайович</t>
  </si>
  <si>
    <t>dmytro.darahan@nure.ua</t>
  </si>
  <si>
    <t>Даценко Олександр олександрович</t>
  </si>
  <si>
    <t>академ відпустка до 30.04.2025</t>
  </si>
  <si>
    <t>Свид І.В.</t>
  </si>
  <si>
    <t xml:space="preserve">oleksandr.datsenko@nure.ua
</t>
  </si>
  <si>
    <t>11А 28.02.2020</t>
  </si>
  <si>
    <t>№29А 30.04.2025 не вийшов з а\в</t>
  </si>
  <si>
    <t>№59А 01.11.2023 зміна 172 на 171, №25А 30.04.2024 а\в</t>
  </si>
  <si>
    <t>Дацько Сергій Валерійович</t>
  </si>
  <si>
    <t>академ відп до 30.04.2026</t>
  </si>
  <si>
    <t>serhii.datsko@nure.ua</t>
  </si>
  <si>
    <t>Методи підвищення завадозахищеності вторинних
 радіолокаторів спостереження повітряного простору</t>
  </si>
  <si>
    <t>№59А 01.11.2023 зміна 172 на 171,№74А призн Стрілкової; №28А 30.04.2025 а\в</t>
  </si>
  <si>
    <t>+380675433891</t>
  </si>
  <si>
    <t>Дашенков Дмитро Сергійович</t>
  </si>
  <si>
    <t>dmytro.dashenkov@nure.ua</t>
  </si>
  <si>
    <t>Моделі класифікації зображень на основі аналізу текстових метаданих</t>
  </si>
  <si>
    <t>№68А 29.09.2025</t>
  </si>
  <si>
    <t xml:space="preserve">№32А 29.05.2024 зміна вечірня на очна, контракт з 01.06.2024, рішення від 10.10.2024 № 14ВР зміна теми роботи </t>
  </si>
  <si>
    <t>+380505786501</t>
  </si>
  <si>
    <t>Деменко Євгеній Євгенович</t>
  </si>
  <si>
    <t>Гребеннік І.В.</t>
  </si>
  <si>
    <t>yevhenii.demenko@nure.ua</t>
  </si>
  <si>
    <t>Моделі та методи оптимізації параметрів систем, побудованих на основі технології блокчейн</t>
  </si>
  <si>
    <t>Демент`єв Артем Миколайович</t>
  </si>
  <si>
    <t>Чалий С.Ф.</t>
  </si>
  <si>
    <t>artem.dementiev@nure.ua</t>
  </si>
  <si>
    <t>Моделі, методи та інформаційна технологія формування дерева рішень для побудови пояснень в інтелектуальній системі</t>
  </si>
  <si>
    <t>Демиденко Давид Володимирович</t>
  </si>
  <si>
    <t>Колтун Ю.М.</t>
  </si>
  <si>
    <t>davyd.demydenko@nure.ua</t>
  </si>
  <si>
    <t>Моделі та методи обробки та зберігання даних, які використовуються в мікромережах</t>
  </si>
  <si>
    <t xml:space="preserve">№70А 30.09.2025 </t>
  </si>
  <si>
    <t xml:space="preserve">невикон індив плану наук роботи </t>
  </si>
  <si>
    <t>Демиденко Євген Євгенович</t>
  </si>
  <si>
    <t>Одаренко Є.М.</t>
  </si>
  <si>
    <t>yevhen.demydenko@nure.ua</t>
  </si>
  <si>
    <t>Квазіоптичні хвилеводи з анізотропними оболонками</t>
  </si>
  <si>
    <t>№40А від 01.09.2023 переведення на каф ФОЕТ</t>
  </si>
  <si>
    <t>Демченко Олег Іванович</t>
  </si>
  <si>
    <t>Чумаченко С.В.</t>
  </si>
  <si>
    <t>oleh.demchenko@nure.ua</t>
  </si>
  <si>
    <t>Моделі та методи Design and Test Computing для планування та корпусування ASIC</t>
  </si>
  <si>
    <t>0680485836</t>
  </si>
  <si>
    <t>Демчук Вадим Геннадійович</t>
  </si>
  <si>
    <t>Кириченко І.В.</t>
  </si>
  <si>
    <t>vadym.demchuk@nure.ua</t>
  </si>
  <si>
    <t>Методи та моделі оцінки ефективності управління конвеєрами даних</t>
  </si>
  <si>
    <t>Деренський Максим Миколайович</t>
  </si>
  <si>
    <t>maksym.derenskyi@nure.ua</t>
  </si>
  <si>
    <t>Моделі, методи та інформаційні технології пошуку оптимального маршруту на основі динамічних даних</t>
  </si>
  <si>
    <t>Дєряка Євген Вікторович</t>
  </si>
  <si>
    <t>академ відпустка до 31.01.2025</t>
  </si>
  <si>
    <t>yevhen.dieriaka@nure.ua</t>
  </si>
  <si>
    <t>46А 23/09/2019</t>
  </si>
  <si>
    <t>09А 31/03/2022</t>
  </si>
  <si>
    <t>№01А 16.01.2024 акад\відп</t>
  </si>
  <si>
    <t>Джабрайілзаде Ельгун Аяз огли</t>
  </si>
  <si>
    <t>аспірант, іноземец</t>
  </si>
  <si>
    <t>Омаров М.А.</t>
  </si>
  <si>
    <t>контр іноз</t>
  </si>
  <si>
    <t>elhun.dzhabraiilzade@nure.ua</t>
  </si>
  <si>
    <t xml:space="preserve"> 16А  28.04.2023</t>
  </si>
  <si>
    <t>Дослідження моделі та методів оцінки складності текстів на основі спостереження за рухом очей</t>
  </si>
  <si>
    <t>№50А 06.09.2024 зміна спец=ті та керівн</t>
  </si>
  <si>
    <t>Анкара ун-т</t>
  </si>
  <si>
    <t>Дикий Станіслав Андрійович</t>
  </si>
  <si>
    <t>stanislav.dykyi@nure.ua</t>
  </si>
  <si>
    <t>Комп’ютеризована система аналізу дитячих малюнків для діагностики емоційного стану дитини</t>
  </si>
  <si>
    <t>Валюженич Олександр Олексiйович</t>
  </si>
  <si>
    <t>№8 від 6.02.25</t>
  </si>
  <si>
    <t>Ключник І.І.</t>
  </si>
  <si>
    <t>oleksandr.valiuzhenych@nure.ua</t>
  </si>
  <si>
    <t>Метрологiчнi аспекти кольорометричного метода монiторингу екологiчного стану довкiлля</t>
  </si>
  <si>
    <t>+380953689648</t>
  </si>
  <si>
    <t>Долганенко Олександр Денисович</t>
  </si>
  <si>
    <t>oleksandr.dolhanenko@nure.ua</t>
  </si>
  <si>
    <t>Моделі оптимізації нейромережевих технологій для мобільних пристроїв</t>
  </si>
  <si>
    <t>Донський Дмитро Олександрович</t>
  </si>
  <si>
    <t>Манаков В.П.</t>
  </si>
  <si>
    <t>dmytro.donskyi@nure.ua</t>
  </si>
  <si>
    <t>Методи та інформаційна технологія автоматизованої обробки текстово-графічних документів в системі додрукарської підготовки</t>
  </si>
  <si>
    <t>Дрозд Олег Юрійович</t>
  </si>
  <si>
    <t>oleh.drozd@nure.ua</t>
  </si>
  <si>
    <t>Дубінський Володимир Максимович</t>
  </si>
  <si>
    <t>Романова Т.Є.</t>
  </si>
  <si>
    <t>volodymyr.dubinskyi1@nure.ua</t>
  </si>
  <si>
    <t>Балансна упаковка 3D кластерів: математична модель та метод розв’язання</t>
  </si>
  <si>
    <t>Дубіцький Артур Євгенович</t>
  </si>
  <si>
    <t>доц. Глухов О.В.</t>
  </si>
  <si>
    <t>artur.dubitskyi@nure.ua</t>
  </si>
  <si>
    <t>Створення аналізатора медичних рентгенівських та томографічних зображень з використанням ШІ-прискорювача</t>
  </si>
  <si>
    <t>Дяченко Владислав Олександрович</t>
  </si>
  <si>
    <t>Міхаль О.П.</t>
  </si>
  <si>
    <t>vladyslav.diachenko@nure.ua</t>
  </si>
  <si>
    <t>Методи підвищення енергозбереження в безпровідних сенсорних мережах з використанням машинного навчання</t>
  </si>
  <si>
    <t>Дяченко Дмитро Олександрович</t>
  </si>
  <si>
    <t>dmytro.diachenko2@nure.ua</t>
  </si>
  <si>
    <t>Моделювання ресурсовідновлення розподілених інформаційних структур</t>
  </si>
  <si>
    <t>Євгеньєв Андрій Михайлович</t>
  </si>
  <si>
    <t>Сєвєрінов О.В.</t>
  </si>
  <si>
    <t>andrii.yevheniev@nure.ua</t>
  </si>
  <si>
    <t>№29А 30.04.2025 за власн баж</t>
  </si>
  <si>
    <t>38А 01.09.2023 акад відп,№51А 06.09.2024 вийшов з а\в</t>
  </si>
  <si>
    <t>Євдокимов Богдан Сергійович</t>
  </si>
  <si>
    <t>bohdan.ievdokymov@nure.ua</t>
  </si>
  <si>
    <t>Моделі, методи та інформаційна технологія узгодження пояснень в інтелектуальних системах</t>
  </si>
  <si>
    <t>Єлисєєв Роман Юрійович</t>
  </si>
  <si>
    <t>Олійников Р.В.</t>
  </si>
  <si>
    <t>roman.ielysieiev @nure.ua</t>
  </si>
  <si>
    <t xml:space="preserve">за власним бажанням </t>
  </si>
  <si>
    <t>21А 29.05.23 академ, №32А 29.05.2024 вихід з а\в , зміна бюдж на контракт</t>
  </si>
  <si>
    <t>Єлісєєв Євгеній Станіславович</t>
  </si>
  <si>
    <t>yevhenii.ielisieiev@nure.ua</t>
  </si>
  <si>
    <t>47А 30.09.2023</t>
  </si>
  <si>
    <t>Метод кодування динамічного потоку відеосегментів для підвищення ефективності надання відеосервісів</t>
  </si>
  <si>
    <t>Єнацький Олександр Олексійович</t>
  </si>
  <si>
    <t>oleksandr.yenatskyi@nure.ua</t>
  </si>
  <si>
    <t>Єрємєєв Євгеній Юрійович</t>
  </si>
  <si>
    <t>доц. Золотухін О.В.</t>
  </si>
  <si>
    <t>yevhenii.yeriemieiev@nure.ua</t>
  </si>
  <si>
    <t>Моделі та методи генерації випадкових параметрів для навчання штучних нейронних мереж на основі аналізу біологічних систем</t>
  </si>
  <si>
    <t>Єрохін Дмитро Олексійович</t>
  </si>
  <si>
    <t>dmytro.yerokhin@nure.ua</t>
  </si>
  <si>
    <t>Моделі, методи та інформаційна технологія інтелектуального аналізу процесів для уточнення пояснень в інтелектуальних системах</t>
  </si>
  <si>
    <t>050-217-91-84</t>
  </si>
  <si>
    <t>Єрохін Максим Андрійович</t>
  </si>
  <si>
    <t>Філатов В.О.</t>
  </si>
  <si>
    <t>maksym.ierokhin@nure.ua</t>
  </si>
  <si>
    <t>№08А 31.01.2025</t>
  </si>
  <si>
    <t>Моделі та інформаційні технології управління багатоцільовими бізнес-процесами в системах підтримки прийняття рішень</t>
  </si>
  <si>
    <t>№59А 15.09.2025</t>
  </si>
  <si>
    <t>+380677926333</t>
  </si>
  <si>
    <t>Тартуський університет</t>
  </si>
  <si>
    <t>Довгополий Сергій Олександрович</t>
  </si>
  <si>
    <t>Запорожець О.В.</t>
  </si>
  <si>
    <t>serhii.dovhopolyi@nure.ua</t>
  </si>
  <si>
    <t>Удосконалення процедур калібрування засобів вимірювальної техніки за допомогою штучних нейронних мереж</t>
  </si>
  <si>
    <t>Жуга Юрій Сергійович</t>
  </si>
  <si>
    <t>Москалець М.В.</t>
  </si>
  <si>
    <t>yurii.zhuha@nure.ua</t>
  </si>
  <si>
    <t>Методи підвищення продуктивності перспективних систем мобільного зв’язку з адаптивною просторово-часовою обробкою сигналів</t>
  </si>
  <si>
    <t>№70А 30.09.2025</t>
  </si>
  <si>
    <t>+380973797042</t>
  </si>
  <si>
    <t>Жук Єгор Андрійович</t>
  </si>
  <si>
    <t>yehor.zhuk@nure.ua</t>
  </si>
  <si>
    <t>№67А 29.09.2025</t>
  </si>
  <si>
    <t>Жигло Сергій Вікторович</t>
  </si>
  <si>
    <t>Штефан Н.В.</t>
  </si>
  <si>
    <t>serhii.zhyhlo@nure.ua</t>
  </si>
  <si>
    <t>Дослідження та розробка методів покращення якості мобільного зв'язку та мобільного інтернету в швидкісних потягах</t>
  </si>
  <si>
    <t xml:space="preserve">ХНУВС </t>
  </si>
  <si>
    <t>Забродін Костянтин Юрійович</t>
  </si>
  <si>
    <t>доц. Селіванова К.Г.</t>
  </si>
  <si>
    <t>kostiantyn.zabrodin@nure.ua</t>
  </si>
  <si>
    <t>Методи та засоби диференційної діагностики нервовом’язових захворювань за допомогою голчастої ЕМГ</t>
  </si>
  <si>
    <t>Задніпровський Дмитро Борисович</t>
  </si>
  <si>
    <t>Можаєв О.О.</t>
  </si>
  <si>
    <t>dmytro.zadniprovskyi@nure.ua</t>
  </si>
  <si>
    <t>Моделі та методи аналізу даних в інформаційних системах управління проєктами для енергетичної галузі</t>
  </si>
  <si>
    <t>Задорожна Ірина Миколаївна</t>
  </si>
  <si>
    <t>Захаров І.П.</t>
  </si>
  <si>
    <t>iryna.zadorozhna1@nure.ua</t>
  </si>
  <si>
    <t>Задрикін Сергій Олександрович</t>
  </si>
  <si>
    <t>serhii.zadrykin@nure.ua</t>
  </si>
  <si>
    <t>Запорізький Валентин Вікторович</t>
  </si>
  <si>
    <t>Цимбал О.М.</t>
  </si>
  <si>
    <t>valentyn.zaporizkyi@nure.ua</t>
  </si>
  <si>
    <t>Методи та моделі управління колаборативними роботами</t>
  </si>
  <si>
    <t>Запорожченко Антон Петрович</t>
  </si>
  <si>
    <t>Гороховатський В.О.</t>
  </si>
  <si>
    <t>anton.zaporozhchenko@nure.ua</t>
  </si>
  <si>
    <t>Методи розпізнавання зображень на основі компонентних моделей структурного опису</t>
  </si>
  <si>
    <t>Зіненко Микола Сергійович</t>
  </si>
  <si>
    <t>mykola.zinenko@nure.ua</t>
  </si>
  <si>
    <t>Розробка моделей обміну даних в літаючих інформаційно-вимірювальних сенсорних мережах при роботі засобів РЕБ</t>
  </si>
  <si>
    <t>+380506582986</t>
  </si>
  <si>
    <t>Заярний Віктор Леонідович</t>
  </si>
  <si>
    <t xml:space="preserve">доц. Лінник О.В. </t>
  </si>
  <si>
    <t>viktor.zaiarnyi@nure.ua</t>
  </si>
  <si>
    <t xml:space="preserve"> </t>
  </si>
  <si>
    <t>Здорик Нікіта Вікторович</t>
  </si>
  <si>
    <t>Янковський О.А.</t>
  </si>
  <si>
    <t>nikita.zdoryk@nure.ua</t>
  </si>
  <si>
    <t>Дослідження та розробка методів кластеризації даних у багатовимірних часових рядах з використанням машинного навчання</t>
  </si>
  <si>
    <t>№03А 28.01.2025 зміна керівн</t>
  </si>
  <si>
    <t>Зигін Сергій Євгенович</t>
  </si>
  <si>
    <t>Кривуля Г.Ф.</t>
  </si>
  <si>
    <t>serhii.zyhin@nure.ua</t>
  </si>
  <si>
    <t>Динамічна маршрутізація при
 невизначених перешкодах для промислової роботизованої платформи</t>
  </si>
  <si>
    <t>+380675456597</t>
  </si>
  <si>
    <t>Ключник Ігор Ігорович</t>
  </si>
  <si>
    <t>ihor.kliuchnyk1@nure.ua</t>
  </si>
  <si>
    <t>Інформаційно-вимірювальний модуль на основі
 піроелектричного перетворювача</t>
  </si>
  <si>
    <t>36А 31.08.2024 зміна кер</t>
  </si>
  <si>
    <t>+380509582227</t>
  </si>
  <si>
    <t>Зінов'єв Артур Петрович</t>
  </si>
  <si>
    <t>artur.zinoviev1@nure.ua</t>
  </si>
  <si>
    <t>Організаційно-економічне забезпечення стратегічного розвитку суб’єктів господарювання</t>
  </si>
  <si>
    <t>Зуй Олександр Олексійович</t>
  </si>
  <si>
    <t>Шейко С.О.</t>
  </si>
  <si>
    <t>oleksandr.zui@nure.ua</t>
  </si>
  <si>
    <t>Методи обробки зображень при виявленні БПЛА у інфрачервоному діапазоні</t>
  </si>
  <si>
    <t>Іванічев Володимир Олександрович</t>
  </si>
  <si>
    <t>Білоус Н.В.</t>
  </si>
  <si>
    <t>volodymyr.ivanichev.cpe@nure.ua</t>
  </si>
  <si>
    <t>Розробка методів та алгоритмів пошуку людей на місцевості в реальному часі</t>
  </si>
  <si>
    <t>Іванов Ігор Олександрович</t>
  </si>
  <si>
    <t>ihor.ivanov1@nure.ua</t>
  </si>
  <si>
    <t>Механізм інноваційно- інвестиційного розвитку підприємства в умовах трансформаційної економіки</t>
  </si>
  <si>
    <t>Ілларіонов Максим Юрійович</t>
  </si>
  <si>
    <t>maksym.illarionov@nure.ua</t>
  </si>
  <si>
    <t xml:space="preserve">Іщук Олександр Романович </t>
  </si>
  <si>
    <t>Руженцев В.І.</t>
  </si>
  <si>
    <t>oleksandr.ishchuk@nure.ua</t>
  </si>
  <si>
    <t>Методи оцінювання криптографічної захищеності інформації в розподілених мережах з використанням штучного інтелекту</t>
  </si>
  <si>
    <t>Кавецький В`ячеслав Сергійович</t>
  </si>
  <si>
    <t>viacheslav.kavetskyi@nure.ua</t>
  </si>
  <si>
    <t>Кавецький Максим Сергійович</t>
  </si>
  <si>
    <t>maksym.kavetskyi@nure.ua</t>
  </si>
  <si>
    <t>Методи виявлення веб-атак з використанням штучного інтелекту</t>
  </si>
  <si>
    <t>Кагітін Юрій Миколайович</t>
  </si>
  <si>
    <t>yurii.kahitin@nure.ua</t>
  </si>
  <si>
    <t>Кайдалов Вадим Дмитрович</t>
  </si>
  <si>
    <t>Голян В.В.</t>
  </si>
  <si>
    <t>vadym.kaidalov@nure.ua</t>
  </si>
  <si>
    <t>Методи та моделі багатоджерельної біометричної автентифікації</t>
  </si>
  <si>
    <t>Каленик Сергій Олександрович</t>
  </si>
  <si>
    <t>serhii.kalenyk@nure.ua</t>
  </si>
  <si>
    <t>Розробка методики виміру спектру високоінтенсивних полів нейтронів</t>
  </si>
  <si>
    <t>Калінін Денис Володимирович</t>
  </si>
  <si>
    <t>доц. Кудрявцева М.С.</t>
  </si>
  <si>
    <t>denys.kalinin@nure.ua</t>
  </si>
  <si>
    <t>Моделі та методи розпізнавання образів з використанням систем обчислювального інтелекту для створення навчального симулятора</t>
  </si>
  <si>
    <t>Калініченко Анатолій Сергійович</t>
  </si>
  <si>
    <t>anatolii.kalinichenko@nure.ua</t>
  </si>
  <si>
    <t>Методи двосторонніх наближень у аналізу нестаціонарних процесів самозаймання</t>
  </si>
  <si>
    <t>Кандауров Ігор Володимирович</t>
  </si>
  <si>
    <t>ihor.kandaurov@nure.ua</t>
  </si>
  <si>
    <t>Каратаєв Олександр Анатолійович</t>
  </si>
  <si>
    <t>Карлов Дмитро Сергійович</t>
  </si>
  <si>
    <t>доц. Піскарьов О.М.</t>
  </si>
  <si>
    <t>dmytro.karlov@nure.ua</t>
  </si>
  <si>
    <t>Метод інтелектуального моніторингу та діагностики стану здоров'я тварин на основі технології IoT</t>
  </si>
  <si>
    <t>Карташов Олександр Володимирович</t>
  </si>
  <si>
    <t>Тихонов В.А.</t>
  </si>
  <si>
    <t>oleksandr.kartashov@nure.ua</t>
  </si>
  <si>
    <t>Методи адаптації систем радіоакустичного зондування атмосфери</t>
  </si>
  <si>
    <t>Каспар’янц Артур Володимирович</t>
  </si>
  <si>
    <t>Сергієнко О.Ю.</t>
  </si>
  <si>
    <t>artur.kaspariants@nure.ua</t>
  </si>
  <si>
    <t>Методи комунікації та взаємодії групи мобільних роботів</t>
  </si>
  <si>
    <t>Каук Павло Володимирович</t>
  </si>
  <si>
    <t>Власенко Л.А.</t>
  </si>
  <si>
    <t>pavlo.kauk@nure.ua</t>
  </si>
  <si>
    <t>Дослідження методів генеративного ШІ у медицині</t>
  </si>
  <si>
    <t>Кириченко Володимир Володимирович</t>
  </si>
  <si>
    <t>Головянко М.В.</t>
  </si>
  <si>
    <t>volodymyr.kyrychenko@nure.ua</t>
  </si>
  <si>
    <t>Методи інтеграції регуляторних знань в машинне навчання для відповідального штучного інтелекту</t>
  </si>
  <si>
    <t>Кирій Володимир  Васильович</t>
  </si>
  <si>
    <t>Жолудов Ю.Т.</t>
  </si>
  <si>
    <t>volodymyr.kyrii@nure.ua</t>
  </si>
  <si>
    <t>Елекрогенерована хемілюмінесценція в тонких полімерних плівках люмінофорів на електродах оптохемотронних сенсорів</t>
  </si>
  <si>
    <t>+380506446970</t>
  </si>
  <si>
    <t>Кирсанов Олександр Олександрович</t>
  </si>
  <si>
    <t>Кривенко С.А.</t>
  </si>
  <si>
    <t>oleksandr.kyrsanov@nure.ua</t>
  </si>
  <si>
    <t>34А  30/09/2021</t>
  </si>
  <si>
    <t>Модель клінічної сумісності даних та пристроїв Інтернету речей на основі інструментів штучного інтелекту</t>
  </si>
  <si>
    <t>0664809856</t>
  </si>
  <si>
    <t>Кит Микита Олександрович</t>
  </si>
  <si>
    <t>mykyta.kyt@nure.ua</t>
  </si>
  <si>
    <t>Дослідження та розробка методів глибинного навчання для виявлення небезпечних подій на основі зорового спостереження</t>
  </si>
  <si>
    <t>Кібірєв Денис Олексійович</t>
  </si>
  <si>
    <t>№11 28.04.2025</t>
  </si>
  <si>
    <t>denys.kibiriev@nure.ua</t>
  </si>
  <si>
    <t>Модель та методи захисту відеоконтенту від несанкціонованого копіювання</t>
  </si>
  <si>
    <t>Клименко Олександр Миколайович</t>
  </si>
  <si>
    <t>oleksandr.klymenko3@nure.ua</t>
  </si>
  <si>
    <t>Моделі та методи автоматичного керування робототизованою конвеєрною лінією сортування фармацевтичної продукції</t>
  </si>
  <si>
    <t>№49А 15.07.2025</t>
  </si>
  <si>
    <t>0672362436</t>
  </si>
  <si>
    <t>НТУКПІ</t>
  </si>
  <si>
    <t>Климова Ірина Миколаївна</t>
  </si>
  <si>
    <t>Бодянський Є.В.,  Попов С.В.</t>
  </si>
  <si>
    <t>iryna.klymova@nure.ua</t>
  </si>
  <si>
    <t>49А02.10.2023</t>
  </si>
  <si>
    <t>№15А 04.03.2024</t>
  </si>
  <si>
    <t>Нечітка довірча послідовна кластеризація даних на основі ройового інтелекту</t>
  </si>
  <si>
    <t>рішення від 10.10.2024 № 14ВР зміна теми роботи , призначення двох  наукових  керівників</t>
  </si>
  <si>
    <t>Клюванський Євген Геннадійович</t>
  </si>
  <si>
    <t>yevhen.kliuvanskyi@nure.ua</t>
  </si>
  <si>
    <t>Кондратенко Вадим Олександрович</t>
  </si>
  <si>
    <t>vadym.kondratenko@nure.ua</t>
  </si>
  <si>
    <t>Моделювання метрологічного забезпечення виробництва</t>
  </si>
  <si>
    <t>Коваленко Олексій Андрійович</t>
  </si>
  <si>
    <t>oleksii.kovalenko3@nure.ua</t>
  </si>
  <si>
    <t>Математичні моделі та комбінаторні оптимізаційні методи розв’язання задач
 перевезення та обробки поштових вантажів</t>
  </si>
  <si>
    <t>+38-066-086-81-88</t>
  </si>
  <si>
    <t>Ковтун Артем Дмитрович</t>
  </si>
  <si>
    <t>artem.kovtun1@nure.ua</t>
  </si>
  <si>
    <t>Нові інформаційні оператори в математичному моделюванні екологічних систем</t>
  </si>
  <si>
    <t>+380968952216</t>
  </si>
  <si>
    <t>ХНУ ім. В.Н. Каразіна</t>
  </si>
  <si>
    <t>Ковтун Євгеній Ігорович</t>
  </si>
  <si>
    <t>yevhenii.kovtun@nure.ua</t>
  </si>
  <si>
    <t>Моделі та методи розподілення обчислювальних задач в гетерогенних комп'ютерних системах</t>
  </si>
  <si>
    <t>Ковтуненко Андрій Романович</t>
  </si>
  <si>
    <t>Машталір С.В.</t>
  </si>
  <si>
    <t>andrii.kovtunenko@nure.ua</t>
  </si>
  <si>
    <t>Моделі та методи аналізу темпоральних подій у відеопотоках</t>
  </si>
  <si>
    <t>№51А 29.08.2025 зміна Машталіра В.П. на Машталіра С.В.</t>
  </si>
  <si>
    <t>0963177089</t>
  </si>
  <si>
    <t>Кодрул Руслан Едуардович</t>
  </si>
  <si>
    <t>Соколова Л.В.</t>
  </si>
  <si>
    <t>ruslan.kodrul@nure.ua</t>
  </si>
  <si>
    <t>Механізм забезпечення фінансово-економічної безпеки підприємства</t>
  </si>
  <si>
    <t>№60А 30.09.2024 Кирій на Соколову</t>
  </si>
  <si>
    <t>Кожанов Адріан Євгенійович</t>
  </si>
  <si>
    <t>Євланов М.В.</t>
  </si>
  <si>
    <t>adrian.kozhanov@nure.ua</t>
  </si>
  <si>
    <t>Інформаційна технологія синтезу опису архітектури інформаційної системи</t>
  </si>
  <si>
    <t>Кожин Андрій Юрійович</t>
  </si>
  <si>
    <t>andrii.kozhyn@nure.ua</t>
  </si>
  <si>
    <t>Методи оптимального керування системами з розподіленими параметрами</t>
  </si>
  <si>
    <t>Козирєв Андрій Дмитрович</t>
  </si>
  <si>
    <t>Шубін І.Ю.</t>
  </si>
  <si>
    <t>andrii.kozyriev@nure.ua</t>
  </si>
  <si>
    <t>Методи і моделі інформаційно-аналітичних гіпермедійних систем обробки багатовимірних даних</t>
  </si>
  <si>
    <t>№37А 27.06.2024 а\в, №45А 04.07.2025 поверн з а\в, перевед на заочн</t>
  </si>
  <si>
    <t>+380505240414</t>
  </si>
  <si>
    <t>Козін Микита Дмитрович</t>
  </si>
  <si>
    <t>F7</t>
  </si>
  <si>
    <t>mykyta.kozin@nure.ua</t>
  </si>
  <si>
    <t>№65А 26.09.2025 а\в</t>
  </si>
  <si>
    <t>Козюберда Михайло Валентинович</t>
  </si>
  <si>
    <t>акад відп до 28.02.2026</t>
  </si>
  <si>
    <t>Дудар З.В.</t>
  </si>
  <si>
    <t>mykhailo.koziuberda@nure.ua</t>
  </si>
  <si>
    <t>Дослідження та розробка методів пошуку і кодування схожих послідовностей даних в алгоритмах стиснення даних без втрат</t>
  </si>
  <si>
    <t>№11А 28.02.2025 а\в з 01.03.2025</t>
  </si>
  <si>
    <t>+380634616344</t>
  </si>
  <si>
    <t>Колесник Вадим Валентинович</t>
  </si>
  <si>
    <t>vadym.kolesnyk@nure.ua</t>
  </si>
  <si>
    <t>Колесник Віталій Олександрович</t>
  </si>
  <si>
    <t>академ відп до 31.01.2026</t>
  </si>
  <si>
    <t>vitalii.kolesnyk@nure.ua</t>
  </si>
  <si>
    <t>Метод кодування відеоресурсів для підвищення доступності на основі встановлення впливовості сегментів щодо збереження семантичної цілісності</t>
  </si>
  <si>
    <t>№8А 05.02.2024 а\в,№03А 28.01.2025 а\в</t>
  </si>
  <si>
    <t>(097)-029-98-863</t>
  </si>
  <si>
    <t>ХІ ВПС імені Івана Кожндуба</t>
  </si>
  <si>
    <t>Колісник Олександр Володимирович</t>
  </si>
  <si>
    <t>доц. Яловега І.Г.</t>
  </si>
  <si>
    <t>oleksandr.kolisnyk1@nure.ua</t>
  </si>
  <si>
    <t>Розробка та дослідження динамічних моделей аварій у системі об’єкт-захист</t>
  </si>
  <si>
    <t>№74А 31.10.2024 признач Яловегі</t>
  </si>
  <si>
    <t>+380930438556</t>
  </si>
  <si>
    <t>Колтаков Олександр Анатолійович</t>
  </si>
  <si>
    <t>oleksandr.koltakov@nure.ua</t>
  </si>
  <si>
    <t>Моделі та методи моніторингу і оптимального балансування навантаженням у програмно-конфігурованих мережах</t>
  </si>
  <si>
    <t>Колузанов Олександр Миколайович</t>
  </si>
  <si>
    <t>Курський Ю.С.</t>
  </si>
  <si>
    <t>oleksandr.koluzanov@nure.ua</t>
  </si>
  <si>
    <t>Модель лазерної фемтосекундної гіперспектральної візуалізації</t>
  </si>
  <si>
    <t>Захаров Олександр Ігорович</t>
  </si>
  <si>
    <t xml:space="preserve">аспірант, а\в до 30.09.2026 </t>
  </si>
  <si>
    <t>oleksandr.zakharov4@nure.ua</t>
  </si>
  <si>
    <t>Удосконалення процедур оцінювання невизначеності аналітичних вимірювань</t>
  </si>
  <si>
    <t>Кондрашов Ігор Євгенович</t>
  </si>
  <si>
    <t>ihor.kondrashov@nure.ua</t>
  </si>
  <si>
    <t>Методи радіоакустичного зондування атмосфери з використанням квазінеперервних зондуючих сигналів</t>
  </si>
  <si>
    <t>Кондуфоров Олександр Євгенійович</t>
  </si>
  <si>
    <t>доц. Валенда Н.А.</t>
  </si>
  <si>
    <t>oleksandr.konduforov@nure.ua</t>
  </si>
  <si>
    <t>Методи та засоби обробки природної мови для виявлення недостовірної інформації</t>
  </si>
  <si>
    <t>Копоть Михайло  Андрійович</t>
  </si>
  <si>
    <t>mykhaylo.kopot@nure.ua</t>
  </si>
  <si>
    <t>25А 30.09.2022</t>
  </si>
  <si>
    <t>№51А 06.10.2023</t>
  </si>
  <si>
    <t>Корбецький Максим Вікторович</t>
  </si>
  <si>
    <t>maksym.korbetskyi@nure.ua</t>
  </si>
  <si>
    <t>Колориметричний моніторинг в медицині</t>
  </si>
  <si>
    <t>Коржов Сергій Олександрович</t>
  </si>
  <si>
    <t>serhii.korzhov@nure.ua</t>
  </si>
  <si>
    <t>Використання комплекснозначних нейронних мереж для розпізнавання літальних апаратів</t>
  </si>
  <si>
    <t>№48А 02.10.2023 Єсілевський на Матв.</t>
  </si>
  <si>
    <t>068-491-5034</t>
  </si>
  <si>
    <t>Корнієнко Валентин Русланович</t>
  </si>
  <si>
    <t>Шкіль  О.С.</t>
  </si>
  <si>
    <t>valentyn.korniienko1@nure.ua</t>
  </si>
  <si>
    <t>Моделі та методи високорівневого синтезу систем цифрової обробки сигналів для імплементації в системах на кристалі</t>
  </si>
  <si>
    <t>зміна теми  дисетрації  рішення ВР проткокол 6  від 30.04.25</t>
  </si>
  <si>
    <t>+380973866516,+380636344370</t>
  </si>
  <si>
    <t>Корнієнко Єгор Дмитрович</t>
  </si>
  <si>
    <t>yehor.korniienko@nure.ua</t>
  </si>
  <si>
    <t>Методи та модель інтелектуальної системи управління енергоспоживанням у мікромережі з використанням відновлювальних джерел енергії та систем накопичення</t>
  </si>
  <si>
    <t>Король Андрій Леонідович</t>
  </si>
  <si>
    <t>andrii.korol@nure.ua</t>
  </si>
  <si>
    <t>Моделі і методи оптимізації календарного планування поліграфічного виробництва</t>
  </si>
  <si>
    <t>Коротіч Олексій Віталійович</t>
  </si>
  <si>
    <t>Зубков О.В.</t>
  </si>
  <si>
    <t>oleksii.korotich@nure.ua</t>
  </si>
  <si>
    <t>Методи та способи підвищення
 завадостійкості кооперативних систем спостереження повітряного простору</t>
  </si>
  <si>
    <t>№59А 01.11.2023 зміна 172 на 171,№87А 19.12.2024 Свид на Зубкова</t>
  </si>
  <si>
    <t>0980226943</t>
  </si>
  <si>
    <t xml:space="preserve">Корщіков Андрій Миколайович </t>
  </si>
  <si>
    <t>Аврунін О.Г.</t>
  </si>
  <si>
    <t>andrii.korshchikov@nure.ua</t>
  </si>
  <si>
    <t>Методи та засоби аналізу даних при тренувальному процесі під час фізичної реабілітації</t>
  </si>
  <si>
    <t>Костін Денис Олександрович</t>
  </si>
  <si>
    <t>denys.kostin@nure.ua</t>
  </si>
  <si>
    <t>Технології створення компонентів органічної біорозкладаної електроніки взаємодією лазерного випромінювання з продуктами симбіотичних культур</t>
  </si>
  <si>
    <t>Костромицький Владислав Андрійович</t>
  </si>
  <si>
    <t>доц. Харченко Н.А.</t>
  </si>
  <si>
    <t>vladyslav.kostromytskyi@nure.ua</t>
  </si>
  <si>
    <t>Методи селективного кодування відеозображень для підвищення якості відеосервісів на основі спектрального трансформування</t>
  </si>
  <si>
    <t>Котельников Руслан Васильович</t>
  </si>
  <si>
    <t>Чуприна А.С.</t>
  </si>
  <si>
    <t>ruslan.kotelnykov@nure.ua</t>
  </si>
  <si>
    <t xml:space="preserve">Методи прогнозування поведінки користувача додатку реального часу за для мінімізації часу задоволення запитів                        </t>
  </si>
  <si>
    <t>+380630548015</t>
  </si>
  <si>
    <t>Кошкін Андрій Олександрович</t>
  </si>
  <si>
    <t>Стрельнікова О.О.</t>
  </si>
  <si>
    <t>andrii.koshkin@nure.ua</t>
  </si>
  <si>
    <t>Розв’язування задач вʼязкопружності для багатозвʼязних анізотропних плит з включеннями</t>
  </si>
  <si>
    <t>Кравченко Олексій Олегович</t>
  </si>
  <si>
    <t>oleksii.kravchenko@nure.ua</t>
  </si>
  <si>
    <t>Методи та засоби алгебри предикатів для семантичного аналізу текстів</t>
  </si>
  <si>
    <t>Кравченко Ростислав Вікторович</t>
  </si>
  <si>
    <t>rostyslav.kravchenko1@nure.ua</t>
  </si>
  <si>
    <t>Моделі, методи та інформаційна технологія побудови пояснень з темпоральним упорядкуванням даних інтелектуальної системи</t>
  </si>
  <si>
    <t>Крайник Костянтин Ігорович</t>
  </si>
  <si>
    <t>kostiantyn.krainyk@nure.ua</t>
  </si>
  <si>
    <t>№81А 27.11.2024 призначення керівника</t>
  </si>
  <si>
    <t>Красій Дмитро Валерійович</t>
  </si>
  <si>
    <t xml:space="preserve">Овчаренко В.Є. </t>
  </si>
  <si>
    <t>dmytro.krasii@nure.ua</t>
  </si>
  <si>
    <t>Інтелектуальне керування компонентами систем сонячної енергетики</t>
  </si>
  <si>
    <t>Красніков Влад Валерійович</t>
  </si>
  <si>
    <t>vlad.krasnikov@nure.ua</t>
  </si>
  <si>
    <t>Краснощок Вадим Іванович</t>
  </si>
  <si>
    <t>Кирій В.В.</t>
  </si>
  <si>
    <t>vadym.krasnoshchok@nure.ua</t>
  </si>
  <si>
    <t>Інформаційно-аналітичне забезпечення управління
 підприємством в умовах розбудови цифрової економіки</t>
  </si>
  <si>
    <t>+380677270767</t>
  </si>
  <si>
    <t xml:space="preserve">Кривицький Андрій Олександрович </t>
  </si>
  <si>
    <t>Філіппенко І.В.</t>
  </si>
  <si>
    <t>andrii.kryvytskyi@nure.ua</t>
  </si>
  <si>
    <t>Криворучко Максим Олександрович</t>
  </si>
  <si>
    <t>maksym.kryvoruchko@nure.ua</t>
  </si>
  <si>
    <t>Кузнецов Олександр Володимирович</t>
  </si>
  <si>
    <t>oleksandr.kuznetsov1@nure.ua</t>
  </si>
  <si>
    <t>Кулак Георгій Костянтинович</t>
  </si>
  <si>
    <t>heorhii.kulak@nure.ua</t>
  </si>
  <si>
    <t>Векторно - логічний комп’ютинг моделювання тестів</t>
  </si>
  <si>
    <t>Куля Владислав Максимович</t>
  </si>
  <si>
    <t>vladyslav.kulia@nure.ua</t>
  </si>
  <si>
    <t>Куренко Владислав Олександрович</t>
  </si>
  <si>
    <t>vladyslav.kurenko@nure.ua</t>
  </si>
  <si>
    <t>Метод проєктування комунікаційної мережі з врахуванням показників інформаційної безпеки</t>
  </si>
  <si>
    <t>Курлан Олександр Олександрович</t>
  </si>
  <si>
    <t>oleksandr.kurlan@nure.ua</t>
  </si>
  <si>
    <t>Методи стиснення відеоінформаційних потоків для підвищення ефективності функціонування інфокомунікаційних мереж на основі структурного кодування</t>
  </si>
  <si>
    <t xml:space="preserve">Курочкін Іван Олександрович </t>
  </si>
  <si>
    <t>Жемчужкіна Т.В.</t>
  </si>
  <si>
    <t>ivan.kurochkin2@nure.ua</t>
  </si>
  <si>
    <t>Метод диференціювання станів пацієнтів з болем у попереку на
 основі моделі розподілу кількісних показників
 електроміографічних сигналів</t>
  </si>
  <si>
    <t>0951193107</t>
  </si>
  <si>
    <t>Кустов Андрій Костянтинович</t>
  </si>
  <si>
    <t>andrii.kustov@nure.ua</t>
  </si>
  <si>
    <t>Методи моніторингу об'єктів захисту інформації на основі технології Data Mining</t>
  </si>
  <si>
    <t>№60А 30.09.2024 Федорченка на Заболотного</t>
  </si>
  <si>
    <t>Кутвицький Максим Юрійович</t>
  </si>
  <si>
    <t>maksym.kutvytskyi@nure.ua</t>
  </si>
  <si>
    <t>Куценко Данило Олексійович</t>
  </si>
  <si>
    <t>danylo.kutsenko@nure.ua</t>
  </si>
  <si>
    <t>Кучапін Матвій Юрійович</t>
  </si>
  <si>
    <t>matvii.kuchapin@nure.ua</t>
  </si>
  <si>
    <t>Кушнір Іван Сергійович</t>
  </si>
  <si>
    <t>ivan.kushnir@nure.ua</t>
  </si>
  <si>
    <t>Інформаційна технологія управління розподілом ресурсів в системах забезпечення проєктної діяльності</t>
  </si>
  <si>
    <t>Лавошник Ілля Олександрович</t>
  </si>
  <si>
    <t>illia.lavoshnyk@nure.ua</t>
  </si>
  <si>
    <t xml:space="preserve">Моделі та методи опису та розпізнавання об’єктів у
відеопотоці
</t>
  </si>
  <si>
    <t>+380509722465</t>
  </si>
  <si>
    <t>Лавриненко Роман Миколайович</t>
  </si>
  <si>
    <t>roman.lavrynenko.cpe@nure.ua</t>
  </si>
  <si>
    <t>Дослідження та розробка методів змагального та кооперативного навчання глибинних нейронних мереж</t>
  </si>
  <si>
    <t>+380956305893</t>
  </si>
  <si>
    <t>Лазарєва Наталя Миколаївна</t>
  </si>
  <si>
    <t>Руденко О.Г.</t>
  </si>
  <si>
    <t>natalia.lazarieva@nure.ua</t>
  </si>
  <si>
    <t>Методи та засоби інтелектуалізації процесів керування складними об’єктами на основі м`яких обчислень</t>
  </si>
  <si>
    <t xml:space="preserve">№71А 30.09.2025 </t>
  </si>
  <si>
    <t>закінч навч, невикон індив плану наук роботи</t>
  </si>
  <si>
    <t>0992547415</t>
  </si>
  <si>
    <t>ХДАЗТ</t>
  </si>
  <si>
    <t>Лапшин Дмитро Юрійович</t>
  </si>
  <si>
    <t>доц. Лещинський В.О.</t>
  </si>
  <si>
    <r>
      <rPr>
        <u/>
        <sz val="11"/>
        <color rgb="FF1155CC"/>
        <rFont val="Times New Roman"/>
      </rPr>
      <t>dmytro.lapshyn1@nure.ua</t>
    </r>
  </si>
  <si>
    <t>Моделі, методи та інформаційна технологія побудови контрфактичних пояснень на основі каузальних залежностей</t>
  </si>
  <si>
    <t>Левченко Кирило Олександрович</t>
  </si>
  <si>
    <t>kyrylo.levchenko1@nure.ua</t>
  </si>
  <si>
    <t>Лега Олексій Сергійович</t>
  </si>
  <si>
    <t>Мартовицький В.О.</t>
  </si>
  <si>
    <t>oleksii.leha@nure.ua</t>
  </si>
  <si>
    <t>Леховіцький Дмитрій Олександрович</t>
  </si>
  <si>
    <t>dmytrii.lekhovitskyi@nure.ua</t>
  </si>
  <si>
    <t>Лисенко Ілля Анатолійович</t>
  </si>
  <si>
    <r>
      <rPr>
        <u/>
        <sz val="11"/>
        <color rgb="FF1155CC"/>
        <rFont val="Times New Roman"/>
      </rPr>
      <t>illia.lysenko3@nure.ua</t>
    </r>
  </si>
  <si>
    <t>Методи знешумлення цифрового відео на основі нейронних мереж</t>
  </si>
  <si>
    <t>Лисіков Іван Ярославович</t>
  </si>
  <si>
    <t>ivan.lysikov@nure.ua</t>
  </si>
  <si>
    <t>Інтелектуальні методи, моделі та засоби обробки зображень на основі промпт-інжинірингу</t>
  </si>
  <si>
    <t>Литвиненко Михайло Ігорович</t>
  </si>
  <si>
    <t>Ребезюк Л.М.</t>
  </si>
  <si>
    <t>mykhailo.lytvynenko1@nure.ua</t>
  </si>
  <si>
    <t>Інтелектуальна система прийняття рішень для пріоритезації наземного громадського транспорту в мережі світлофорних перехресть</t>
  </si>
  <si>
    <t>+380989151495</t>
  </si>
  <si>
    <t>Литвиненко Олександр Вікторович</t>
  </si>
  <si>
    <t>Горелов Д.Ю.</t>
  </si>
  <si>
    <t>oleksandr.lytvynenko@nure.ua</t>
  </si>
  <si>
    <t>Литвиненко Сергій Володимирович</t>
  </si>
  <si>
    <t>Дейнеко Ж.В.</t>
  </si>
  <si>
    <t>serhii.lytvynenko@nure.ua</t>
  </si>
  <si>
    <t>Дослідження та застосування методів та алгоритмів розпізнавання образів на основі нейрон-фаззі систем</t>
  </si>
  <si>
    <t>Літвін Світлана Геннадіївна</t>
  </si>
  <si>
    <t>svitlana.litvin@nure.ua</t>
  </si>
  <si>
    <t>Методи і моделі побудови індивідуальної траєкторії навчання у розподіленому віртуальному університеті</t>
  </si>
  <si>
    <t xml:space="preserve">№73А 30.09.2025 </t>
  </si>
  <si>
    <t>0966992213</t>
  </si>
  <si>
    <t>Лобенко Данило Миколайович</t>
  </si>
  <si>
    <t>Турута О.П.</t>
  </si>
  <si>
    <t>danylo.lobenko@nure.ua</t>
  </si>
  <si>
    <t>Дослідження моделі та методів людино-машинної взаємодії на основі спостереження за рухом очей</t>
  </si>
  <si>
    <t>Лопатінський Андрій Анатолійович</t>
  </si>
  <si>
    <t>andrii.lopatinskyi@nure.ua</t>
  </si>
  <si>
    <t>Лукашов Дмитро Сергійович</t>
  </si>
  <si>
    <t>доц. Козиренко С.І.</t>
  </si>
  <si>
    <t>dmytro.lukashov@nure.ua</t>
  </si>
  <si>
    <t>Застосування нейронних мереж для оптимізації архітектур сучасних обчислювальних систем</t>
  </si>
  <si>
    <t>№74А 31.10.2024 признач Козиренко</t>
  </si>
  <si>
    <t>Лутай Сергій Михайлович</t>
  </si>
  <si>
    <t>serhii.lutai@nure.ua</t>
  </si>
  <si>
    <t>Cинтез логічного вектора графової структури для моделювання</t>
  </si>
  <si>
    <t>Луханін Володимир Сергійович</t>
  </si>
  <si>
    <t>volodymyr.lukhanin@nure.ua</t>
  </si>
  <si>
    <t>Моделювання стійкого розвитку нелінійних взаємодіючих систем</t>
  </si>
  <si>
    <t>Луценко Віктор Олександрович</t>
  </si>
  <si>
    <t>viktor.lutsenko@nure.ua</t>
  </si>
  <si>
    <t>Метрологічне забезпечення інформаційно-вимірювальної системи обліку енергоресурсів на підприємстві</t>
  </si>
  <si>
    <t>Лученко Ярослав Валентинович</t>
  </si>
  <si>
    <t>yaroslav.luchenko@nure.ua</t>
  </si>
  <si>
    <t>№74А 30.09.2025</t>
  </si>
  <si>
    <t>Люліна Катерина Петрівна</t>
  </si>
  <si>
    <t>kateryna.liulina@nure.ua</t>
  </si>
  <si>
    <t>Ляшенко Галина Євгеніївна</t>
  </si>
  <si>
    <t>Астраханцев А.А.</t>
  </si>
  <si>
    <t>halyna.liashenko@nure.ua</t>
  </si>
  <si>
    <t>63А 30.11.2023</t>
  </si>
  <si>
    <t>Методи підвищення ефективності систем віддаленої біометричної автентифікації в телекомунікаційних мережах - рішення ВР від 31.01.2024 протокол 2</t>
  </si>
  <si>
    <t xml:space="preserve">№09А 17.02.2025, №10А17.02.2025 диплом </t>
  </si>
  <si>
    <t>Ляшик Володимир Андрійович</t>
  </si>
  <si>
    <t>volodymyr.liashyk@nure.ua</t>
  </si>
  <si>
    <t>«Методи та моделі адаптивного тестування знань на основі алгебраїчного програмування у розподіленому навчальному середовищі</t>
  </si>
  <si>
    <t>№65А 12.12.2023 зміна Четверикова,№05А 22.01.2024 акад\відп,№06 31.01.2025 вихід з а\в</t>
  </si>
  <si>
    <t>Мазепа Андрій Сергійович</t>
  </si>
  <si>
    <t>доц. Бринза Н.О.</t>
  </si>
  <si>
    <t>andrii.mazepa@nure.ua</t>
  </si>
  <si>
    <t>Система підтримки прийняття рішень для розробки програмного забезпечення на основі аналізу ризиків</t>
  </si>
  <si>
    <t>Мазепа Артем Дмитрович</t>
  </si>
  <si>
    <t>Радівілова Т.А.</t>
  </si>
  <si>
    <t>artem.mazepa@nure.ua</t>
  </si>
  <si>
    <t>Розробка системи виявлення кіберзагроз на основі моделей та методів штучного інтелекту для сервісів з АРІ-інтеграцією</t>
  </si>
  <si>
    <t>Макаренко Геннадій Сергійович</t>
  </si>
  <si>
    <t>hennadii.makarenko@nure.ua</t>
  </si>
  <si>
    <t>0633268764 / 0952426416</t>
  </si>
  <si>
    <t>Макаров Дмитро Сергійович</t>
  </si>
  <si>
    <t>dmytro.makarov@nure.ua</t>
  </si>
  <si>
    <t>Моделі та методи семантичного аналізу відеоданих</t>
  </si>
  <si>
    <t>+380975227981</t>
  </si>
  <si>
    <t>Макеєнко Владислав Сергійович</t>
  </si>
  <si>
    <t>vladyslav.makeienko@nure.ua</t>
  </si>
  <si>
    <t>Інформаційна технологія управління реєстром артефактів інформаційної системи</t>
  </si>
  <si>
    <t>Макєєв Олексій Сергійович</t>
  </si>
  <si>
    <t>oleksii.makieiev@nure.ua</t>
  </si>
  <si>
    <t>Дослідження та розробка методів оптимізації функції придатності для систем із еволюційною архітектурою, які використовують хмарні технології</t>
  </si>
  <si>
    <t>Маковецький Сергій Олександрович</t>
  </si>
  <si>
    <t>serhii.makovetskyi@nure.ua</t>
  </si>
  <si>
    <t>Методи обробки та передачі інформації у розподілених системах</t>
  </si>
  <si>
    <t>+380979441958</t>
  </si>
  <si>
    <t>Макогон Юрій Олександрович</t>
  </si>
  <si>
    <t>yurii.makohon@nure.ua</t>
  </si>
  <si>
    <t>Нейромережеві методи та засоби вирішення освітянських завдань</t>
  </si>
  <si>
    <t>0501383464</t>
  </si>
  <si>
    <t>Максименко Даніїл Вікторович</t>
  </si>
  <si>
    <t>daniil.maksymenko@nure.ua</t>
  </si>
  <si>
    <t>Моделі і методи для задач генерації відповідей на питання українською мовою</t>
  </si>
  <si>
    <t>Максимов Сергій Володимирович</t>
  </si>
  <si>
    <t>академ відпустка</t>
  </si>
  <si>
    <t>serhii.maksymov1@nure.ua</t>
  </si>
  <si>
    <t>Задача дисперсного компонування 3D об’єктів: математична модель та метод розв’язання</t>
  </si>
  <si>
    <t>№16А 03.03.2025 а\в до 28.02.2026</t>
  </si>
  <si>
    <t xml:space="preserve">Максимова Наталія </t>
  </si>
  <si>
    <t>nataliya.maksymova@nure.ua</t>
  </si>
  <si>
    <t>№80А 15.11.2024</t>
  </si>
  <si>
    <t>Малько Владислав Юрійович</t>
  </si>
  <si>
    <t>vladyslav.malko@nure.ua</t>
  </si>
  <si>
    <t>Розробка методів та алгоритмів розпізнавання позиції тіла людини в просторі для подальшого аналізу</t>
  </si>
  <si>
    <t>+380662907711, +380970144880</t>
  </si>
  <si>
    <t>Мальченко Олександр Володимирович</t>
  </si>
  <si>
    <t>доц. Пащенко О.Г.</t>
  </si>
  <si>
    <t>oleksandr.malchenko@nure.ua</t>
  </si>
  <si>
    <t>Оптимізація методу широтноімпульсної модуляції керування інвертором з фіксованою нейтральною точкою</t>
  </si>
  <si>
    <t>Мамчич Олександр Олександрович</t>
  </si>
  <si>
    <t>oleksandr.mamchych@nure.ua</t>
  </si>
  <si>
    <t>Моделі, методи та інформаційна технологія хмарних обчислень на основі мобільних пристроїв</t>
  </si>
  <si>
    <t>+380507559601</t>
  </si>
  <si>
    <t>Мануйлов Олексій Вікторович</t>
  </si>
  <si>
    <t>Ігуменцева Н.В.</t>
  </si>
  <si>
    <t>oleksii.manuilov@nure.ua</t>
  </si>
  <si>
    <t>Формування стратегії сталого розвитку підприємств в умовах невизначеності</t>
  </si>
  <si>
    <t>Мартиненко Максим Віталійович</t>
  </si>
  <si>
    <t>maksym.martynenko@nure.ua</t>
  </si>
  <si>
    <t>Мартиненко Микола Сергійович</t>
  </si>
  <si>
    <t>доц. Шейко І.А.</t>
  </si>
  <si>
    <t>mykola.martynenko@nure.ua</t>
  </si>
  <si>
    <t>Механізм забезпечення економічної безпеки підприємства в умовах розвитку цифрових інновацій</t>
  </si>
  <si>
    <t>Марухненко Олександр Сергійович</t>
  </si>
  <si>
    <t>oleksandr.marukhnenko@nure.ua</t>
  </si>
  <si>
    <t>Методи доведення з нульовим розголошенням для масштабування децентралізованих мереж</t>
  </si>
  <si>
    <t>№25А 31.03.2025</t>
  </si>
  <si>
    <t>+380973986799</t>
  </si>
  <si>
    <t>Марченко Роман Олексійович</t>
  </si>
  <si>
    <t>roman.marchenko1@nure.ua</t>
  </si>
  <si>
    <t>Організаційно-економічне забезпечення діяльності підприємств на ринку природного газу України</t>
  </si>
  <si>
    <t>ХДУ ім.Каразіна</t>
  </si>
  <si>
    <t>Мацейко Тарас Михайлович</t>
  </si>
  <si>
    <t>taras.matseiko@nure.ua</t>
  </si>
  <si>
    <t>Темпоральні моделі, методи та інформаційна технологія виявлення аномальних послідовностей робіт в медичних бізнес-процесах</t>
  </si>
  <si>
    <t>ЛДМУ</t>
  </si>
  <si>
    <t>Мачоніс Тадас Сігітасович</t>
  </si>
  <si>
    <t>tadas.machonis@nure.ua</t>
  </si>
  <si>
    <t xml:space="preserve">Методи підвищення пропускної здатності кооперативних
систем спостереження повітряного простору
</t>
  </si>
  <si>
    <t>№59А 01.11.2023 зміна 172 на 171</t>
  </si>
  <si>
    <t>+380930830853</t>
  </si>
  <si>
    <t xml:space="preserve">ХНПУ імені Г.С. Сковороди </t>
  </si>
  <si>
    <t>Мельник Валентин Валентинович</t>
  </si>
  <si>
    <t>Авер'янова Л.О.</t>
  </si>
  <si>
    <t>valentyn.melnyk@nure.ua</t>
  </si>
  <si>
    <t>Методи та засоби оптичного трекінгу в інтервенційній радіології</t>
  </si>
  <si>
    <t>Мельніченко Федір Олександрович</t>
  </si>
  <si>
    <t>Коваленко А.А.</t>
  </si>
  <si>
    <t>fedir.melnychenko@nure.ua</t>
  </si>
  <si>
    <t>Розробка моделей та методів у виявленні об’єктів інтересів в просторі зображень повітряного моніторингу</t>
  </si>
  <si>
    <t xml:space="preserve">№51А 29.08.2025 зміна Рубана на Коваленка </t>
  </si>
  <si>
    <t>Михайліченко Ігор Володимирович</t>
  </si>
  <si>
    <t>Ляшенко О.С.</t>
  </si>
  <si>
    <t>ihor.mykhailichenko@nure.ua</t>
  </si>
  <si>
    <t>Моделі та методи створення інтелектуалізованих систем аналізу великих даних в комп'ютерних системах</t>
  </si>
  <si>
    <t>Мичка Святослав Олегович</t>
  </si>
  <si>
    <t>доц. Голян Н.В.</t>
  </si>
  <si>
    <t>sviatoslav.mychka@nure.ua</t>
  </si>
  <si>
    <t>Адаптивні методи стиснення інформації для оптимізації інтеграції розподілених джерел даних</t>
  </si>
  <si>
    <t>Мізін Дмитро Сергійович</t>
  </si>
  <si>
    <t>доц. Пономарьов С.В.</t>
  </si>
  <si>
    <t>dmytro.mizin@nure.ua</t>
  </si>
  <si>
    <t>Діагностика ефективності діяльності підприємства в контексті економічної безпеки</t>
  </si>
  <si>
    <t>Мілько Денис Вʼячеславович</t>
  </si>
  <si>
    <t>denys.milko@nure.ua</t>
  </si>
  <si>
    <t>Моделі і методи відстеження цілей у системах БПЛА на основі комп’ютерного зору</t>
  </si>
  <si>
    <t>Мірошник Юрій Юрійович</t>
  </si>
  <si>
    <t>yurii.miroshnyk@nure.ua</t>
  </si>
  <si>
    <t>Методи і моделі ідентифікації стану технічних засобів автоматизації при нечіткій вихідній інформації</t>
  </si>
  <si>
    <t>Мірошниченко Неля Сергіївна</t>
  </si>
  <si>
    <t>nelia.miroshnychenko@nure.ua</t>
  </si>
  <si>
    <t>Мірошніченко Олександр Олександрович</t>
  </si>
  <si>
    <t>oleksandr.miroshnichenko@nure.ua</t>
  </si>
  <si>
    <t>Методи розв’язування задач прийняття рішень на графах з нечіткими вагами</t>
  </si>
  <si>
    <t>Місан Богдан Сергійович</t>
  </si>
  <si>
    <t>bohdan.misan@nure.ua</t>
  </si>
  <si>
    <t>Розробка інтелектуальної системи керування 3D-друку полімерних матеріалів медичного призначення</t>
  </si>
  <si>
    <t>Місоченко Сергій Юрійович</t>
  </si>
  <si>
    <t>serhii.misochenko@nure.ua</t>
  </si>
  <si>
    <t>Методи і засоби інтелектуального аналізу зображень головного мозку для визначення новоутворень</t>
  </si>
  <si>
    <t>Могилевський Дмитро Ігорович</t>
  </si>
  <si>
    <t>Аксак Н.Г.</t>
  </si>
  <si>
    <t>dmytro.mohylevskyi@nure.ua</t>
  </si>
  <si>
    <t>Методи та засоби фотонного відображення у комп’ютеризованих системах з реалістичним освітленням</t>
  </si>
  <si>
    <t>Мордик Олександр Олександрович</t>
  </si>
  <si>
    <t>акад відп до 31.08.2026</t>
  </si>
  <si>
    <t>oleksandr.mordyk@nure.ua</t>
  </si>
  <si>
    <t>№18А 01.05.2023 догляд за дитиною,№41А 30.06.2025 поверн з відпустки, №51А 29.08.2025 а\в до 31.08.2026</t>
  </si>
  <si>
    <t>Морозов Олексій Юрійович</t>
  </si>
  <si>
    <t>доц. Федюшин О.І.</t>
  </si>
  <si>
    <t>oleksii.morozov@nure.ua</t>
  </si>
  <si>
    <t>Методи захисту програм від аналізу та модифікації з використанням стеганографії</t>
  </si>
  <si>
    <t>Москвін Костянтин Сергійович</t>
  </si>
  <si>
    <t>kostiantyn.moskvin@nure.ua</t>
  </si>
  <si>
    <t>Мякота Владислав Володимирович</t>
  </si>
  <si>
    <t>vladyslav.miakota@nure.ua</t>
  </si>
  <si>
    <t>Набока Артем Олександрович</t>
  </si>
  <si>
    <t>доц. Мазурова О.О.</t>
  </si>
  <si>
    <t>artem.naboka@nure.ua</t>
  </si>
  <si>
    <t>Моделі та методи використання генеративного штучного інтелекту для створення високопродуктивних баз даних</t>
  </si>
  <si>
    <t xml:space="preserve">Надточий Максим Миколайович </t>
  </si>
  <si>
    <t>доц. Балагура Д.С.</t>
  </si>
  <si>
    <t>maksym.nadtochyi@nure.ua</t>
  </si>
  <si>
    <t>Методи та засоби підвищення безпеки та захисту розподілених мереж з використанням технологій штучного інтелекту</t>
  </si>
  <si>
    <t>Нго За Фат</t>
  </si>
  <si>
    <t>za.nho@nure.ua</t>
  </si>
  <si>
    <t>Моделі та методи оптимізації розподілених обчислювальних систем за допомогою машинного навчання</t>
  </si>
  <si>
    <t>Небрат В`ячеслав Валерійович</t>
  </si>
  <si>
    <t>viacheslav.nebrat@nure.ua</t>
  </si>
  <si>
    <t>Особливості використання вторинно перероблених пластмас в 3-D-принтерах</t>
  </si>
  <si>
    <t>+380979317164</t>
  </si>
  <si>
    <t>Неліпа Олександр Дмитрович</t>
  </si>
  <si>
    <t>Калита Н.І.</t>
  </si>
  <si>
    <r>
      <rPr>
        <u/>
        <sz val="11"/>
        <color rgb="FF1155CC"/>
        <rFont val="Times New Roman"/>
      </rPr>
      <t>oleksandr.nelipa1@nure.ua</t>
    </r>
  </si>
  <si>
    <t>Методологія автоматизації верифікації та валідації інформаційних систем із використанням методів штучного інтелекту</t>
  </si>
  <si>
    <t>Нестеренко Єгор Олександрович</t>
  </si>
  <si>
    <t>доц. Кириченко І.В.</t>
  </si>
  <si>
    <t xml:space="preserve">yehor.nesterenko@nure.ua
</t>
  </si>
  <si>
    <t>Моделі та методи аналізу поведінки користувачів для оптимізації рекомендаційних систем у маркетингу</t>
  </si>
  <si>
    <t>Нетребін Юрій Миколайович</t>
  </si>
  <si>
    <t>Саваневич В.Є.</t>
  </si>
  <si>
    <t>yurii.netrebin@nure.ua</t>
  </si>
  <si>
    <t>Методи автоматичного розпізнавання рухомих об’єктів та оптимізація їх параметрів за натурними даними</t>
  </si>
  <si>
    <t>Нефьодов Даниїл Андрійович</t>
  </si>
  <si>
    <t>Чала Л.Е.</t>
  </si>
  <si>
    <t>danyil.nefodov@nure.ua</t>
  </si>
  <si>
    <t>Інтелектуальні методи керування мікросервісами в розподілених
 інформаційних системах</t>
  </si>
  <si>
    <t>Нечволод Костянтин Вадимович</t>
  </si>
  <si>
    <t>kostiantyn.nechvolod@nure.ua</t>
  </si>
  <si>
    <t>Аналіз та пошук аномалій на тепловізійних знімках</t>
  </si>
  <si>
    <t>Нечипуренко Станіслав Ігорович</t>
  </si>
  <si>
    <t>stanislav.nechypurenko@nure.ua</t>
  </si>
  <si>
    <t>Нєдєльніцев Іван Вʼячеславович</t>
  </si>
  <si>
    <t>Антіпов І.Є.</t>
  </si>
  <si>
    <t>ivan.niedielnitsev@nure.ua</t>
  </si>
  <si>
    <t>Методи захисту інформаційно-комунікаційних систем на основі Zero Trust архітектури</t>
  </si>
  <si>
    <t>Ні Олег В'ячеславович</t>
  </si>
  <si>
    <t>Піскарьов О.М.</t>
  </si>
  <si>
    <t>oleh.ni@nure.ua</t>
  </si>
  <si>
    <t>Методи та моделі вдосконалення ефективності проєктування графічних інтерфейсів в комп’ютерних системах</t>
  </si>
  <si>
    <t>Нікітін Дмитро Михайлович</t>
  </si>
  <si>
    <t>dmytro.nikitin1@nure.ua</t>
  </si>
  <si>
    <t>Методи та моделі проектування та реалізації автоматних програмних систем</t>
  </si>
  <si>
    <t xml:space="preserve">закінч навч, захист </t>
  </si>
  <si>
    <t>+380997031215</t>
  </si>
  <si>
    <t xml:space="preserve">Ніколаєнко Дмитро Сергійович </t>
  </si>
  <si>
    <t>доц. Філімончук Т.В.</t>
  </si>
  <si>
    <t>dmytro.nikolaienko@nure.ua</t>
  </si>
  <si>
    <t>Інформаційна технологія розпізнавання та класифікації астрономічних об’єктів з використанням паралельних обчислень</t>
  </si>
  <si>
    <t>Новаковський Антон Валерійович</t>
  </si>
  <si>
    <t>Яловега І.Г.</t>
  </si>
  <si>
    <t>anton.novakovskyi@nure.ua</t>
  </si>
  <si>
    <t>Дизайн-мислення в контексті розвитку генеративного AI: розподіл ролей та задач між людиною та штучним інтелектом</t>
  </si>
  <si>
    <t>Новицький Владислав Віталійович</t>
  </si>
  <si>
    <t>vladyslav.novytskyi@nure.ua</t>
  </si>
  <si>
    <t>Невзаємні хвилеводні структури на основі магнітофотонних кристалів</t>
  </si>
  <si>
    <t>Новічонок Марія Сергіївна</t>
  </si>
  <si>
    <t>№12 21.04.2025</t>
  </si>
  <si>
    <t>mariia.novichonok@nure.ua</t>
  </si>
  <si>
    <t>Методи контекстної класифікації об’єктів у відеопотоці</t>
  </si>
  <si>
    <t>Новосьолов Олег Анатолійович</t>
  </si>
  <si>
    <t>oleh.novosolov@nure.ua</t>
  </si>
  <si>
    <t>Удосконалення методик калібрування робочих еталонів</t>
  </si>
  <si>
    <t>Норматова Тетяна Віталіївна</t>
  </si>
  <si>
    <t>tetiana.normatova@nure.ua</t>
  </si>
  <si>
    <t>Методи фрагментного аналізу відеопотоку для вирішення задачі класифікації</t>
  </si>
  <si>
    <t>Нуреддін Хуссейн Хашем</t>
  </si>
  <si>
    <t>Мурзабулатова О.В.</t>
  </si>
  <si>
    <t>khussein.nureddin@nure.ua</t>
  </si>
  <si>
    <t>Організаційно-економічний механізм розвитку бізнес-структур в умовах цифрової економіки</t>
  </si>
  <si>
    <t>№18А 17.03.2025 поруш умов контракту</t>
  </si>
  <si>
    <t>ХНУБтаА</t>
  </si>
  <si>
    <t>Овчаренко Костянтин Сергійович</t>
  </si>
  <si>
    <t>Антіпов І.Є</t>
  </si>
  <si>
    <t>kostiantyn.ovcharenko@nure.ua</t>
  </si>
  <si>
    <t>Розвиток методів та засобів радіолокаційних метеорних спостережень</t>
  </si>
  <si>
    <t>№11А 28.02.2025 а\в до 28.02.2026</t>
  </si>
  <si>
    <t>+380999810313</t>
  </si>
  <si>
    <t>Озерський Костянтин Леонідович</t>
  </si>
  <si>
    <t>kostiantyn.ozerskyi@nure.ua</t>
  </si>
  <si>
    <t>Удосконалення термолюмінесцентної дозиметричної інформаційно-вимірювальної системи на основі термолюмінесцентного порошку</t>
  </si>
  <si>
    <t>Олійник Артем Євгенійович</t>
  </si>
  <si>
    <t>доц. Груздо І.В.</t>
  </si>
  <si>
    <t>artem.oliinyk@nure.ua</t>
  </si>
  <si>
    <t>Алгоритми і моделі оптимізації управління системами охорони здоров'я для ефективного використання медичного обладнання у кризових умовах</t>
  </si>
  <si>
    <t>Олійник Владислав Михайлович</t>
  </si>
  <si>
    <t>Бізюк А.В.</t>
  </si>
  <si>
    <r>
      <rPr>
        <u/>
        <sz val="11"/>
        <color rgb="FF1155CC"/>
        <rFont val="Times New Roman"/>
      </rPr>
      <t>vladyslav.oliinyk3@nure.ua</t>
    </r>
  </si>
  <si>
    <t>Моделі і методи адаптивної генерації ігрових стратегій на основі текстових описів</t>
  </si>
  <si>
    <t>Онищенко Роман Сергійович</t>
  </si>
  <si>
    <t>roman.onyshchenko@nure.ua</t>
  </si>
  <si>
    <t>Метод кодування для підвищення бітової швидкості відеоресурсу в безпроводних інформаційно-телекомунікаційних системах</t>
  </si>
  <si>
    <t>№62А 27.11.2023 зміна Безрука на Баранніка, №51А  29.08.2025 а\в до 31.08.2025</t>
  </si>
  <si>
    <t>0630471261</t>
  </si>
  <si>
    <t>Інститут цивільної авіації ХНУПС</t>
  </si>
  <si>
    <t>Оніщук Денис Анатолійович</t>
  </si>
  <si>
    <t>denys.onishchuk@nure.ua</t>
  </si>
  <si>
    <t>Застосування колориметричного методу неруйнівного контролю в промисловості</t>
  </si>
  <si>
    <t>Орлов Станіслав Валерійович</t>
  </si>
  <si>
    <t>stanislav.orlov@nure.ua</t>
  </si>
  <si>
    <t>Осередчук Тарас Миронович</t>
  </si>
  <si>
    <t>taras.oseredchuk@nure.ua</t>
  </si>
  <si>
    <t>Модель розпізнавання образів на основі топологічного аналізу оптичних сигналів</t>
  </si>
  <si>
    <t>Оченашко Максим Олександрович</t>
  </si>
  <si>
    <t>maksym.ochenashko@nure.ua</t>
  </si>
  <si>
    <t xml:space="preserve">Дослідження технології класифікації зображень із
впровадженням статистичних моделей функції належності
</t>
  </si>
  <si>
    <t>+380665456869</t>
  </si>
  <si>
    <t>Павленко Тарас Іванович</t>
  </si>
  <si>
    <t>taras.pavlenko@nure.ua</t>
  </si>
  <si>
    <t>Комп’ютерно-інтегровані технології підвищення автономності людей з комплексними порушеннями мобільності</t>
  </si>
  <si>
    <t>Павленко Ярослав Володимирович</t>
  </si>
  <si>
    <t>yaroslav.pavlenko@nure.ua</t>
  </si>
  <si>
    <t>Методи кластеризації та класифікації даних на основі нейронних мереж</t>
  </si>
  <si>
    <t>Пантєлєєв Вадим Олегович</t>
  </si>
  <si>
    <t>Радівілова Т.А</t>
  </si>
  <si>
    <t>vadym.pantielieiev@nure.ua</t>
  </si>
  <si>
    <t>Моделі та методи прогнозування внутрішніх інцидентів через розвідку соціальних мереж</t>
  </si>
  <si>
    <t>Панченко Дмитро Вікторович</t>
  </si>
  <si>
    <t>dmytro.panchenko@nure.ua</t>
  </si>
  <si>
    <t>закінч навч, невикон інд плану науков роботи</t>
  </si>
  <si>
    <t>43А 21.09.2023 акад відп,№34А 13.06.2024 вихід з а\в , зміна Турути на Єрохіна, 60А 30.09.2024  зміна Єрохіна на Туруту</t>
  </si>
  <si>
    <t>Панько Артем Дмитрович</t>
  </si>
  <si>
    <t>artem.panko@nure.ua</t>
  </si>
  <si>
    <t>Пархоменко Владислав Геннадійович</t>
  </si>
  <si>
    <t>vladyslav.parkhomenko1@nure.ua</t>
  </si>
  <si>
    <t>Метод двобічних наближень у чисельному аналізі радіально-симетричних крайових задач для напівлінійних еліптичних рівнянь</t>
  </si>
  <si>
    <t>Патров Денис Олегович</t>
  </si>
  <si>
    <t>denys.patrov@nure.ua</t>
  </si>
  <si>
    <t>Розробка методів виявлення нестаціонарних випадкових сигналів оптико-електронних систем в складних умовах спостереження</t>
  </si>
  <si>
    <t>Пашков Дмитро Олександрович</t>
  </si>
  <si>
    <t>dmytro.pashkov@nure.ua</t>
  </si>
  <si>
    <t>Cloud-edge computing великих даних для синтезу логiчних функцiональностей управлiння бiзнес-процесом</t>
  </si>
  <si>
    <t>Пащенко Олександр Сергійович</t>
  </si>
  <si>
    <t>oleksandr.pashchenko@nure.ua</t>
  </si>
  <si>
    <t>Моделі і методи керування життєвим циклом виробничих процесів на базі кіберфізичних систем</t>
  </si>
  <si>
    <t>Педан Радислав Віталійович</t>
  </si>
  <si>
    <t>radyslav.pedan@nure.ua</t>
  </si>
  <si>
    <t>Оцінка положення 3D об’єкта за 2D-зображенням за допомогою зіставлення ключових точок</t>
  </si>
  <si>
    <t>Переметчик Данило Олександрович</t>
  </si>
  <si>
    <t>danylo.peremetchyk@nure.ua</t>
  </si>
  <si>
    <t>Перепичай Олег Іванович</t>
  </si>
  <si>
    <t>Мазурова О.О.</t>
  </si>
  <si>
    <t>oleh.perepychai@nure.ua</t>
  </si>
  <si>
    <t>Моделі та методи проектування та реалізації гетерогенних баз даних для систем електронної комерції</t>
  </si>
  <si>
    <t>Перетяга Максим Юрійович</t>
  </si>
  <si>
    <t>Ревенчук І.А.</t>
  </si>
  <si>
    <t>maksym.peretiaha@nure.ua</t>
  </si>
  <si>
    <t>Дослідження та виявлення аномалій з використанням нейронної мережі для оптимізації ресурсів мікросервісів</t>
  </si>
  <si>
    <t>Перцев Павло Дмитрович</t>
  </si>
  <si>
    <t>Костромицький А.І.</t>
  </si>
  <si>
    <t>pavlo.pertsev@nure.ua</t>
  </si>
  <si>
    <t>Механізм управління економічними процесами на підприємствах в умовах ризику</t>
  </si>
  <si>
    <t>№60А 30.09.2024 переврд на 172, ІМІ, Костромицький</t>
  </si>
  <si>
    <t>Петренко Дмитро Анатолійович</t>
  </si>
  <si>
    <t>dmytro.petrenko3@nure.ua</t>
  </si>
  <si>
    <t>Організаційно-економічне забезпечення функціонування інклюзивної економіки в Україні</t>
  </si>
  <si>
    <t>ХДІФК</t>
  </si>
  <si>
    <t>Петрикін Михайло Юрійович</t>
  </si>
  <si>
    <t>Кулішова Н.Є</t>
  </si>
  <si>
    <t>mykhailo.petrykin@nure.ua</t>
  </si>
  <si>
    <t>Методи та алгоритми машинного навчання для створення текстового опису ознак об’єктів на зображенні</t>
  </si>
  <si>
    <t>Печенов Максим Анатолійович</t>
  </si>
  <si>
    <t>Колендовська М.М.</t>
  </si>
  <si>
    <t>maksym.pechenov@nure.ua</t>
  </si>
  <si>
    <t>Методи комплексного збору та обробки інформації, орієнтації та визначення просторового положення мобільного наземного робота у недетермінованому середовищі</t>
  </si>
  <si>
    <t>Пилипенко Андрій Геннадійович</t>
  </si>
  <si>
    <t>andrii.pylypenko@nure.ua</t>
  </si>
  <si>
    <t>Модель та метод виявлення кореляційних залежностей у онтологічних системах побудованих на різнорідних даних</t>
  </si>
  <si>
    <t>0503004283</t>
  </si>
  <si>
    <t>ХНУРЕ (MSc 2007), University of Wales (MPhil 2010)</t>
  </si>
  <si>
    <t>Пироженко Михайло Юрійович</t>
  </si>
  <si>
    <t>Вишняк М.Ю.</t>
  </si>
  <si>
    <t>mykhailo.pyrozhenko@nure.ua</t>
  </si>
  <si>
    <t>Методологічні засади створення систем конвеєрної обробки текстів природної мови</t>
  </si>
  <si>
    <t>0979057350</t>
  </si>
  <si>
    <t>Пироженко Сергій Станіславович</t>
  </si>
  <si>
    <t>serhii.pyrozhenko@nure.ua</t>
  </si>
  <si>
    <t>Метод фазинг-тестування веб застосунків на основі моделей динамічних байєсівських мереж</t>
  </si>
  <si>
    <t>№26А 25.04.2025 зміна Кучук на Коваленко, №58А 12.09.2025 зміна Коваленка на Кучук</t>
  </si>
  <si>
    <t xml:space="preserve">Піхуля Дмитро Олексійович </t>
  </si>
  <si>
    <t>Бодянський Є.В., Попов С.В.</t>
  </si>
  <si>
    <t>dmytro.pikhulia@nure.ua</t>
  </si>
  <si>
    <t>№67А 28.10.2024</t>
  </si>
  <si>
    <t>Метод арифметичного кодування кластеризованих відеозображень в телекомунікаційних системах</t>
  </si>
  <si>
    <t>0.01.1991</t>
  </si>
  <si>
    <t>Погуляєв Юрій Сергійович</t>
  </si>
  <si>
    <t>yurii.pohuliaiev@nure.ua</t>
  </si>
  <si>
    <t>Моделі морфологічного детектора та дескриптора особливих точок зображення</t>
  </si>
  <si>
    <t>+380678600479</t>
  </si>
  <si>
    <t>Подгорний Олексій Русланович</t>
  </si>
  <si>
    <t>Застосування методу R-функцій у математичному моделюванні плоских фільтраційних течій</t>
  </si>
  <si>
    <t>Поддубний Вадим Олександрович</t>
  </si>
  <si>
    <t>vadym.poddubnyi@nure.ua</t>
  </si>
  <si>
    <t>09А 01.03.2021</t>
  </si>
  <si>
    <t>№10А 20.02.2024 а\в, №11А 28.02.2025 вихід з а\в</t>
  </si>
  <si>
    <t>+380972328166</t>
  </si>
  <si>
    <t>Поліїт Алла Георгіївна</t>
  </si>
  <si>
    <t>догляд за дитиною до 19.09.2026</t>
  </si>
  <si>
    <t>alla.poliit@nure.ua</t>
  </si>
  <si>
    <t>№49А 02.10.2023</t>
  </si>
  <si>
    <t>Поліщук Вадим Володимирович</t>
  </si>
  <si>
    <t>vadym.polishchuk@nure.ua</t>
  </si>
  <si>
    <t>Методи автономної навігації мобільних наземних роботів</t>
  </si>
  <si>
    <t>Полозов Денис Максимович</t>
  </si>
  <si>
    <t>denys.polozov@nure.ua</t>
  </si>
  <si>
    <t>Полозов Олександр Борисович</t>
  </si>
  <si>
    <t>Перепелюкова О.В.</t>
  </si>
  <si>
    <t>oleksandr.polozov@nure.ua</t>
  </si>
  <si>
    <t>Потенціал розвитку регіонів в контексті забезпечення економічної безпеки</t>
  </si>
  <si>
    <t>Полубєхін Антон Андрійович</t>
  </si>
  <si>
    <t>anton.polubiekhin@nure.ua</t>
  </si>
  <si>
    <t>Нейро-фаззі системи для кластеризації потоків даних</t>
  </si>
  <si>
    <t>№28А 30.04.2025 за невик інд плану</t>
  </si>
  <si>
    <t>Помогалова Наталія Валеріївна</t>
  </si>
  <si>
    <t>Пономарьов О.В.</t>
  </si>
  <si>
    <t>nataliya.pomogalova@nure.ua</t>
  </si>
  <si>
    <t>Організаційно-економічний механізм адаптації та інноваційного розвитку підприємства</t>
  </si>
  <si>
    <t>Пономаренко Андрій Володимирович</t>
  </si>
  <si>
    <t>andrii.ponomarenko@nure.ua</t>
  </si>
  <si>
    <t>Дослідження та розробка методів оцінювання параметрів альфа-стійких шумів в системах управління</t>
  </si>
  <si>
    <t>0504026748</t>
  </si>
  <si>
    <t>Пономаренко Володимир Андрійович</t>
  </si>
  <si>
    <r>
      <rPr>
        <u/>
        <sz val="10"/>
        <color rgb="FF1155CC"/>
        <rFont val="Arial"/>
      </rPr>
      <t>volodymyr.ponomarenko1@nure.ua</t>
    </r>
  </si>
  <si>
    <t>Пономаренко Ольга Євгеніївна</t>
  </si>
  <si>
    <t>olha.ponomarenko@nure.ua</t>
  </si>
  <si>
    <t>№54А 30.10.2023 акад\відп, №75А віхид з а\в</t>
  </si>
  <si>
    <t>Порохнавець Богдан Андрійович</t>
  </si>
  <si>
    <t>bohdan.porokhnavets@nure.ua</t>
  </si>
  <si>
    <t>Порошенко Антон Ігорович</t>
  </si>
  <si>
    <t>anton.poroshenko@nure.ua</t>
  </si>
  <si>
    <t>Модель та методи обробки аудіо сигналів у мережних системах аудиоаналітики</t>
  </si>
  <si>
    <t>№47А 10.07.2025 закінч,захист</t>
  </si>
  <si>
    <t>0662108632</t>
  </si>
  <si>
    <t>Посашков Олег Юрійович</t>
  </si>
  <si>
    <t>oleh.posashkov@nure.ua</t>
  </si>
  <si>
    <t>Дослідження та розробка методів автоматизованої підтримки прийняття рішень в завданнях віддаленого управління гнучким інтегрованим виробництвом</t>
  </si>
  <si>
    <t>Привалов Богдан Вікторович</t>
  </si>
  <si>
    <t>bohdan.pryvalov@nure.ua</t>
  </si>
  <si>
    <t>Методи та засоби експрес-діагностики порушень носового дихання</t>
  </si>
  <si>
    <t>Прокіпець Валентин Олександрович</t>
  </si>
  <si>
    <t>РТІКС</t>
  </si>
  <si>
    <t>№10 05.02.25</t>
  </si>
  <si>
    <t>доц. Чала О.В.</t>
  </si>
  <si>
    <t>valentyn.prokipets@nure.ua</t>
  </si>
  <si>
    <t>Моделі та методи підвищення ефективності передачі даних у бездротових локальних мережах на основі машинного навчання</t>
  </si>
  <si>
    <t>Прокопенко Олександр Сергійович</t>
  </si>
  <si>
    <t>oleksandr.prokopenko1@nure.ua</t>
  </si>
  <si>
    <t>Дослідження та розробка методів швидкого каскадного пошуку у великих сховищах зображень</t>
  </si>
  <si>
    <t>+380668861938</t>
  </si>
  <si>
    <t>Прокопенко Родіон Олегович</t>
  </si>
  <si>
    <t>rodion.prokopenko@nure.ua</t>
  </si>
  <si>
    <t>Просолов Владислав Валерійович</t>
  </si>
  <si>
    <t>vladyslav.prosolov@nure.ua</t>
  </si>
  <si>
    <t>Методи оцінки загроз у блокчейн системах на основі машинного навчання</t>
  </si>
  <si>
    <t>+380959134032</t>
  </si>
  <si>
    <t>Прочухан Дмитро Володимирович</t>
  </si>
  <si>
    <t>dmytro.prochukhan@nure.ua</t>
  </si>
  <si>
    <t>Методи і засоби комп’ютерної обробки зображень на основі загорткових нейромереж</t>
  </si>
  <si>
    <t>32А 20.07.23 академ</t>
  </si>
  <si>
    <t>НТУХПІ</t>
  </si>
  <si>
    <t>Прядко Владислав Сергійович</t>
  </si>
  <si>
    <t>vladyslav.priadko@nure.ua</t>
  </si>
  <si>
    <t>Пусан Анатолій Миколайович</t>
  </si>
  <si>
    <t>Романенков Ю.О.</t>
  </si>
  <si>
    <t>anatolii.pusan@nure.ua</t>
  </si>
  <si>
    <t>Моделі та методи інформаційної технології робастного управління логістичними процесами</t>
  </si>
  <si>
    <t>Пустовий Андрій Сергійович</t>
  </si>
  <si>
    <t>andrii.pustovyi@nure.ua</t>
  </si>
  <si>
    <t>Методи та засоби забезпечення єдності вимірювань одиниць гамма-випромінень в Україні</t>
  </si>
  <si>
    <t>Пущин Роман Вячеславович</t>
  </si>
  <si>
    <t>roman.pushchyn@nure.ua</t>
  </si>
  <si>
    <t>Методи та засоби стабільного вимірювання температурного плато</t>
  </si>
  <si>
    <t>Радченко В`ячеслав Олексійович</t>
  </si>
  <si>
    <t>viacheslav.radchenko@nure.ua</t>
  </si>
  <si>
    <t>Моделювання елементів інформаційних структур баз знань зі зберіганням інформації на основі посилань</t>
  </si>
  <si>
    <t>№54А 18.09.2024 зміна Міхаля на Кучук; №26А 25.04.2025 зміна Кучук на Фесенко, №58А 12.09.2025 зміна Фесенко на Кучук</t>
  </si>
  <si>
    <t>Радченко Іван Владиславович</t>
  </si>
  <si>
    <t>ivan.radchenko@nure.ua</t>
  </si>
  <si>
    <t>Модель та методи обробки даних в розподілених інформаційних системах</t>
  </si>
  <si>
    <t>Рамазанов Расул Шамільович</t>
  </si>
  <si>
    <t>rasul.ramazanov@nure.ua</t>
  </si>
  <si>
    <t>Методи масштабування ознак для передачі даних через меседж брокери на базі мікросервісної архітектурі</t>
  </si>
  <si>
    <t>№13А 03.03.2025 невик індив плану</t>
  </si>
  <si>
    <t>Ревва Кирило Віталійович</t>
  </si>
  <si>
    <t>kyrylo.revva@nure.ua</t>
  </si>
  <si>
    <t>Методи кодування відеопотоку з компенсацію руху динамічних об’єктів 
 для підвищення ефективності функціонування інфокомунікаційних мереж</t>
  </si>
  <si>
    <t>0956575803</t>
  </si>
  <si>
    <t>Репіхов Вадим Миколайович</t>
  </si>
  <si>
    <t>vadym.repikhov@nure.ua</t>
  </si>
  <si>
    <t>Методи та алгоритми валідації даних у інформаційних системах медичного призначення</t>
  </si>
  <si>
    <t>+380503437706</t>
  </si>
  <si>
    <t>Реука Кирило Олегович</t>
  </si>
  <si>
    <t>доц. Ільїна І.В.</t>
  </si>
  <si>
    <t>kyrylo.reuka@nure.ua</t>
  </si>
  <si>
    <t>Методи виявлення та розпізнавання дезінформації в мережі Інтернет</t>
  </si>
  <si>
    <t>Рибіцький Олександр Максимович</t>
  </si>
  <si>
    <t>oleksandr.rybitskyi@nure.ua</t>
  </si>
  <si>
    <t>Методи, моделі та засоби взаємодії з автомобілем за допомогою систем діагностування ОВD-2</t>
  </si>
  <si>
    <t>+380957825355</t>
  </si>
  <si>
    <t>Рибников Микола Володимирович</t>
  </si>
  <si>
    <t>академ відп до 31.01.2025</t>
  </si>
  <si>
    <t>mykola.rybnykov@nure.ua</t>
  </si>
  <si>
    <t>№7А 31.01.2024 а\в</t>
  </si>
  <si>
    <t>Риков Дмитро Миколайович</t>
  </si>
  <si>
    <t>dmytro.rykov@nure.ua</t>
  </si>
  <si>
    <t>Методи аналізу безпеки програмного коду із використанням машинного навчання</t>
  </si>
  <si>
    <t>0955402461</t>
  </si>
  <si>
    <t>ХЮУ імені Ярослава Мудрого</t>
  </si>
  <si>
    <t>Романків Назарій Дмитрович</t>
  </si>
  <si>
    <t>Ситніков Д.Е.</t>
  </si>
  <si>
    <t>nazarii.romankiv@nure.ua</t>
  </si>
  <si>
    <t>Метод застосування великих мовних моделей та cloud-native технологій в SaaS додатках</t>
  </si>
  <si>
    <t>Романчук Віталій Сергійович</t>
  </si>
  <si>
    <t>vitalii.romanchuk@nure.ua</t>
  </si>
  <si>
    <t>Розвиток моделі стохастичного фільтру для виділення радіоімпульсного сигналу із суміші з шумом високої інтенсивності</t>
  </si>
  <si>
    <t>+380976319908</t>
  </si>
  <si>
    <t xml:space="preserve">Романчук Віталій Сергійович </t>
  </si>
  <si>
    <t>Романюков Микола Генріхович</t>
  </si>
  <si>
    <t>академ відпустка до 28.02.2025</t>
  </si>
  <si>
    <t>mykola.romaniukov@nure.ua</t>
  </si>
  <si>
    <t>56А 31/10/2019</t>
  </si>
  <si>
    <t>№13А 29.02.2024 а\в</t>
  </si>
  <si>
    <t>Росінський Дмитро Миколайович</t>
  </si>
  <si>
    <t>dmytro.rosinskyi@nure.ua</t>
  </si>
  <si>
    <t>Руденко Сергій Олегович</t>
  </si>
  <si>
    <t>Безсонов О.О.</t>
  </si>
  <si>
    <t>serhii.rudenko1@nure.ua</t>
  </si>
  <si>
    <t>Нейромережева ідентифікація нелінійних динамічних об’єктів за умов апріорної невизначеності</t>
  </si>
  <si>
    <t>Рудой Валерій Валерійович</t>
  </si>
  <si>
    <t>valerii.rudoi@nure.ua</t>
  </si>
  <si>
    <t>Руткас Андрій Анатолійович</t>
  </si>
  <si>
    <t>andrii.rutkas@nure.ua</t>
  </si>
  <si>
    <t>Нейронні мережі в аналізі дескрипторних систем</t>
  </si>
  <si>
    <t>Савенков Денис Вадимович</t>
  </si>
  <si>
    <t>denys.savenkov@nure.ua</t>
  </si>
  <si>
    <t>Онлайн навчання спайковихнейромереж у задачах інтелектуального аналізу даних</t>
  </si>
  <si>
    <t>Савченко Антон Віталійович</t>
  </si>
  <si>
    <t>anton.savchenko@nure.ua</t>
  </si>
  <si>
    <t>Савченко Роман Олександрович</t>
  </si>
  <si>
    <t>roman.savchenko1@nure.ua</t>
  </si>
  <si>
    <t>Методи підвищення ефективності використання радіочастотного ресурсу в системах мобільного зв'язку наступних поколінь</t>
  </si>
  <si>
    <t>Садовий Микола Сергійович</t>
  </si>
  <si>
    <t>mykola.sadovyi@nure.ua</t>
  </si>
  <si>
    <t>Саліхов Михайло Михайлович</t>
  </si>
  <si>
    <t>mykhailo.salikhov@nure.ua</t>
  </si>
  <si>
    <t>№83А 09.10.2025</t>
  </si>
  <si>
    <t>Самелюк Андрій Андрійович</t>
  </si>
  <si>
    <t>andrii.sameliuk@nure.ua</t>
  </si>
  <si>
    <t>Розробка генеративного штучного інтелекту з механізмами самокритики</t>
  </si>
  <si>
    <t>Самойленко (Кострова) Ганна Юріївна</t>
  </si>
  <si>
    <t>hanna.kostrova@nure.ua</t>
  </si>
  <si>
    <t>Моделі та методи інтелектуального синхронного управління групою роботів</t>
  </si>
  <si>
    <t>№60А 01.11.2023 зміна прізвища</t>
  </si>
  <si>
    <t>Самойлов Іван Андрійович</t>
  </si>
  <si>
    <t>ivan.samoilov@nure.ua</t>
  </si>
  <si>
    <t>Методи впровадження мовних моделей у спеціалізовані інформаційні системи</t>
  </si>
  <si>
    <t>Самохін Юрій Вікторович</t>
  </si>
  <si>
    <t>Аврунін О. Г.</t>
  </si>
  <si>
    <t>yurii.samokhin@nure.ua</t>
  </si>
  <si>
    <t>Методи та засоби аналізу кріомікроскопічних зображень</t>
  </si>
  <si>
    <t>+380997225664</t>
  </si>
  <si>
    <t>Сандркін Денис Леонідович</t>
  </si>
  <si>
    <t>denys.sandrkin@nure.ua</t>
  </si>
  <si>
    <t>Інваріантні моделі та алгоритми пошуку по зображенню у сховищах даних</t>
  </si>
  <si>
    <t>0985713389</t>
  </si>
  <si>
    <t>Свєтлінський Олег Андрійович</t>
  </si>
  <si>
    <t>доц. Ревенчук І.А.</t>
  </si>
  <si>
    <t>oleh.svietlinskyi@nure.ua</t>
  </si>
  <si>
    <t>Моделі віртуалізації для IoT пристроїв та граничних обчислень</t>
  </si>
  <si>
    <t>Свиридов Артем Сергійович</t>
  </si>
  <si>
    <t>artem.svyrydov@nure.ua</t>
  </si>
  <si>
    <t>Модель та методи захисту Smart Grid систем від несанкціонованого доступу</t>
  </si>
  <si>
    <t>39А 01.09.2023 зміна кер, №60А 30.09.2024 зміна Руженцева на Сєвєрінова</t>
  </si>
  <si>
    <t>+380505050582</t>
  </si>
  <si>
    <t>Світенко Георгій Миколайович</t>
  </si>
  <si>
    <t>heorhii.svitenko@nure.ua</t>
  </si>
  <si>
    <t>Моделі і методи інформаційної технології просторового предиктивного аналізу урбаністичних процесів в умовах невизначеності</t>
  </si>
  <si>
    <t>Севрюков Олег Юрійович</t>
  </si>
  <si>
    <t>Лошаков В.А.</t>
  </si>
  <si>
    <t>oleh.sevriukov@nure.ua</t>
  </si>
  <si>
    <t>Методи застосування технології програмно-реконфігуруємого радіообладнання для побудови дослідницьких та навчальних фізичних моделей систем зв’язку, телебачення та радіомоніторингу нових поколінь</t>
  </si>
  <si>
    <t>Семененко Валерій Олексійович</t>
  </si>
  <si>
    <t>valerii.semenenko@nure.ua</t>
  </si>
  <si>
    <t>Семенченко Олександр Андрійович</t>
  </si>
  <si>
    <t>oleksandr.semenchenko@nure.ua</t>
  </si>
  <si>
    <t>Метод кодування трафіку для підвищення швидкості прихованого класу зв’язку</t>
  </si>
  <si>
    <t>+380507683086</t>
  </si>
  <si>
    <t>Семеренська Вікторія Владиславівна</t>
  </si>
  <si>
    <t>Адамов О.С.</t>
  </si>
  <si>
    <t>viktoriia.semerenska@nure.ua</t>
  </si>
  <si>
    <t>Сітчаста архітектура кібербезпеки (CSMA) для захисту критичних кіберфізичних систем</t>
  </si>
  <si>
    <t>Сергієнко Владислав Ігорович</t>
  </si>
  <si>
    <t>доц. Филипенко І.В.</t>
  </si>
  <si>
    <t>vladyslav.serhiienko@nure.ua</t>
  </si>
  <si>
    <t>Моделі та методи апаратної адаптивної корекції помилок у режимі реального часу в розподілених комп'ютерних системах</t>
  </si>
  <si>
    <t>Сердечний Віталій Сергійович</t>
  </si>
  <si>
    <t>vitalii.serdechnyi@nure.ua</t>
  </si>
  <si>
    <t>Розподілена інформаційна система відеоаналітики для прогнозування місцезнаходження рухомих обʼєктів</t>
  </si>
  <si>
    <t>Сєріков Антон Олександрович</t>
  </si>
  <si>
    <t xml:space="preserve">Воргуль О.В. </t>
  </si>
  <si>
    <t>anton.sierikov1@nure.ua</t>
  </si>
  <si>
    <t>Методи підвищення якості інформаційного забезпечення споживачів мереж систем спостереження повітряного простору</t>
  </si>
  <si>
    <t>№54А 18.09.2024 зміна Свид на Воргуля</t>
  </si>
  <si>
    <t>+380954378235</t>
  </si>
  <si>
    <t>Сидоренко Богдан Юрійович а</t>
  </si>
  <si>
    <t>bohdan.sydorenko1@nure.ua</t>
  </si>
  <si>
    <t>Сидоренко Зоя Михайлівна</t>
  </si>
  <si>
    <t>zoia.sydorenko@nure.ua</t>
  </si>
  <si>
    <t>Моделі та методи управління безпекою мобільних абонентських пристроїв у корпоративних мережах</t>
  </si>
  <si>
    <t xml:space="preserve">39А 01.09.2023 зміна кер </t>
  </si>
  <si>
    <t>0509151371</t>
  </si>
  <si>
    <t>ХНАМГ О.М.Бекетова</t>
  </si>
  <si>
    <t>Силантьєв Володимир Євгенович</t>
  </si>
  <si>
    <t>Кулішова Н.Є.</t>
  </si>
  <si>
    <t>volodymyr.sylantiev1@nure.ua</t>
  </si>
  <si>
    <t>Аналіз і дослідження проектування взаємодії користувача у віртуальному середовищі</t>
  </si>
  <si>
    <t>Ситник Олексій Вячеславович</t>
  </si>
  <si>
    <t>oleksii.sytnyk@nure.ua</t>
  </si>
  <si>
    <t>Інформаційна технологія забезпечення відмовостійкості систем критичного застосування</t>
  </si>
  <si>
    <t>Сілаічев Михайло Васильович</t>
  </si>
  <si>
    <t>mykhailo.silaichev@nure.ua</t>
  </si>
  <si>
    <t>Методи розпізнавання дикторів по спектральним признакам мовних сигналів в умовах апріорної невизначеності</t>
  </si>
  <si>
    <t>Сільченко Володимир Владиславович</t>
  </si>
  <si>
    <t>volodymyr.silchenko@nure.ua</t>
  </si>
  <si>
    <t>Скибенко Микола Сергійович</t>
  </si>
  <si>
    <t>mykola.skybenko@nure.ua</t>
  </si>
  <si>
    <t>№37А 27.06.2024 а\в,  №45А 04.07.2025 поверн з а\в, перевед на заочн</t>
  </si>
  <si>
    <t>Скрипченко Микита Дмитрович</t>
  </si>
  <si>
    <t>mykyta.skrypchenko@nure.ua</t>
  </si>
  <si>
    <t>Дослідження великих мовних моделей для автоматизації процесів життєвого циклу розробки програмного забезпечення</t>
  </si>
  <si>
    <t>Слєпцов Вадим Анатолійович</t>
  </si>
  <si>
    <t>vadym.slieptsov@nure.ua</t>
  </si>
  <si>
    <t>Слісаренко Роман Валерійович</t>
  </si>
  <si>
    <t>roman.slisarenko@nure.ua</t>
  </si>
  <si>
    <t>Дослідження та вдосконалення методів і засобів дистанційного навчання на основі використання штучного інтелекту</t>
  </si>
  <si>
    <t>Слуцкін Микита Володимирович</t>
  </si>
  <si>
    <t>доц. Вовк О.В.</t>
  </si>
  <si>
    <t>mykyta.slutskin@nure.ua</t>
  </si>
  <si>
    <t>Методи, моделі та інформаційна технологія управління комунікаціями поліграфічного підприємства</t>
  </si>
  <si>
    <t>Слюсар Андрій Павлович</t>
  </si>
  <si>
    <t>andrii.sliusar@nure.ua</t>
  </si>
  <si>
    <t>Методи та моделі ідентифікації об’єктів в умовах невизначеності на логістичних конвеєрних лініях</t>
  </si>
  <si>
    <t>Сокіркаєв Денис Вадимович</t>
  </si>
  <si>
    <t>Зарудний О.А.</t>
  </si>
  <si>
    <t>denys.sokirkaiev@nure.ua</t>
  </si>
  <si>
    <t>Підвищення ефективності систем бездротової зарядки</t>
  </si>
  <si>
    <t>Соколов Андрій Андрійович</t>
  </si>
  <si>
    <t>andrii.sokolov@nure.ua</t>
  </si>
  <si>
    <t>Методи та засоби просторової навігації для осіб з особливими потребами</t>
  </si>
  <si>
    <t>0672618267</t>
  </si>
  <si>
    <t>Сокольцов Андрій Олегович</t>
  </si>
  <si>
    <t>andrii.sokoltsov@nure.ua</t>
  </si>
  <si>
    <t>Методи і засоби комп`ютерного планування ендоскопічних втручань в ринології</t>
  </si>
  <si>
    <t>Соловей Ілля Владиславович</t>
  </si>
  <si>
    <t>доц. Ворочек О.Г.</t>
  </si>
  <si>
    <t>illia.solovei@nure.ua</t>
  </si>
  <si>
    <t>Методи та моделі програмних систем автоматизованої генерації контенту соціальних мереж в умовах інформаційної війни</t>
  </si>
  <si>
    <t>Солодов Віталій Дмитрович</t>
  </si>
  <si>
    <t>vitalii.solodov@nure.ua</t>
  </si>
  <si>
    <t>Методи автономної навігації групи мобільних наземних роботів</t>
  </si>
  <si>
    <t>Солошенко Денис Олексійович</t>
  </si>
  <si>
    <t>denys.soloshenko@nure.ua</t>
  </si>
  <si>
    <t>Соробей Богдан Володимирович</t>
  </si>
  <si>
    <t>bohdan.sorobei@nure.ua</t>
  </si>
  <si>
    <t>Методи моделювання масштабованих хмарних ресурсів в інформаційних системах</t>
  </si>
  <si>
    <t>Сотник Ігор Сергійович</t>
  </si>
  <si>
    <t>ihor.sotnyk@nure.ua</t>
  </si>
  <si>
    <t>Моделі і методи побудови інформаційно-аналітичних систем обробки багатовимірних даних</t>
  </si>
  <si>
    <t>№53А 12.10.2023 Шубін на Четвер.</t>
  </si>
  <si>
    <t>Стаднік Данііл Володимирович</t>
  </si>
  <si>
    <t>daniil.stadnik@nure.ua</t>
  </si>
  <si>
    <t>Методи та засоби екологічного моніторингу з використанням оптичних сенсорів</t>
  </si>
  <si>
    <t>Степаненко Руслан Джаванширович</t>
  </si>
  <si>
    <t>Шейко І.А.</t>
  </si>
  <si>
    <t>ruslan.stepanenko@nure.ua</t>
  </si>
  <si>
    <t>Організаційно-економічний механізм управління ризиками підприємства в умовах цифровізації</t>
  </si>
  <si>
    <t>Степась Дмитро Андрійович</t>
  </si>
  <si>
    <t xml:space="preserve">dmytro.stepas@nure.ua
</t>
  </si>
  <si>
    <t>Методи обробки сигналів для ідентифікації та класифікації повітряних об'єктів на основі аналізу шумових характеристик</t>
  </si>
  <si>
    <t>Стрельченя Данило Юрійович</t>
  </si>
  <si>
    <t>Узлов Д.Ю.</t>
  </si>
  <si>
    <t>danylo.strelchenia@nure.ua</t>
  </si>
  <si>
    <t>Методи та алгоритми створення 3D моделей на основі 2D зображень</t>
  </si>
  <si>
    <t xml:space="preserve">невикон  індив плану наук роботи </t>
  </si>
  <si>
    <t>Стрижаков Володимир Ілліч</t>
  </si>
  <si>
    <t>volodymyr.stryzhakov1@nure.ua</t>
  </si>
  <si>
    <t>Стрілець Роман Євгенійович</t>
  </si>
  <si>
    <t>roman.strilets@nure.ua</t>
  </si>
  <si>
    <t>Методи та засоби забезпечення якісних показників автоматизованих систем керування адитивними технологіями 3Dдруку</t>
  </si>
  <si>
    <t>0663301986</t>
  </si>
  <si>
    <t>Стьопін Олександр Сергійович</t>
  </si>
  <si>
    <t>oleksandr.stopin@nure.ua</t>
  </si>
  <si>
    <t>Методи аналізу та синтезу аудіо потоків на основі методів обчислювального інтелекту</t>
  </si>
  <si>
    <t>Суворов Данііл Спартакович</t>
  </si>
  <si>
    <t>доц. Афанасьєва І.В.</t>
  </si>
  <si>
    <t>daniil.suvorov@nure.ua</t>
  </si>
  <si>
    <t>Методології виявлення фейкового текстового контенту з використанням методів машинного навчання</t>
  </si>
  <si>
    <t>Суворов Роман Сергійович</t>
  </si>
  <si>
    <t>roman.suvorov@nure.ua</t>
  </si>
  <si>
    <t>Методи визначення автентичності електронного авторського контенту з використанням нейронних мереж та статистичного аналізу</t>
  </si>
  <si>
    <t>Сукнов Олег Михайлович</t>
  </si>
  <si>
    <t>oleh.suknov@nure.ua</t>
  </si>
  <si>
    <t>Оцінка потенціалу розвитку підприємства в контексті забезпечення економічної безпеки</t>
  </si>
  <si>
    <t>ХДАТОХ</t>
  </si>
  <si>
    <t>Суліма Євген Валерійович</t>
  </si>
  <si>
    <t>Yevhen.sulima@nure.ua</t>
  </si>
  <si>
    <t>Керування електродинамічними характеристиками двовимірних магнітофонних кристалів</t>
  </si>
  <si>
    <t>Сухачов Костянтин Ігорович</t>
  </si>
  <si>
    <t>Новоселов С.П.</t>
  </si>
  <si>
    <t>kostiantyn.sukhachov@nure.ua</t>
  </si>
  <si>
    <t>Інтелектуальне керування безпілотним роботизованим засобом в динамічному середовищі</t>
  </si>
  <si>
    <t>Танянський Олексій Сергійович</t>
  </si>
  <si>
    <t>oleksii.tanianskyi@nure.ua</t>
  </si>
  <si>
    <t>Глибокі нейронні мережі для кластеризації масивів даних</t>
  </si>
  <si>
    <t>№51А 29.08.2025 зміна Машталіра В.П. на Шафроненко</t>
  </si>
  <si>
    <t>Татарников Андрій Олександрович</t>
  </si>
  <si>
    <t>andrii.tatarnykov@nure.ua</t>
  </si>
  <si>
    <t>Комп'ютеризована система діагностування освітнього процесу</t>
  </si>
  <si>
    <t>+380507661885</t>
  </si>
  <si>
    <t>Терехов Михайло Владиславович</t>
  </si>
  <si>
    <t>mykhailo.terekhov@nure.ua</t>
  </si>
  <si>
    <t>№77А 01.10.2025</t>
  </si>
  <si>
    <t>Терещенко Гліб Юрійович</t>
  </si>
  <si>
    <t>hlib.tereshchenko@nure.ua</t>
  </si>
  <si>
    <t>№05А 22.01.2024 акад\відп,№03 31.01.2025 вихід з а\в</t>
  </si>
  <si>
    <t>Тесленко Денис Максимович</t>
  </si>
  <si>
    <t>denys.teslenko@nure.ua</t>
  </si>
  <si>
    <t>Розробка моделей сегментації зображень нерегулярного виду при значущих варіаціях умов отримання даних</t>
  </si>
  <si>
    <t>Теслюк Сергій Ігорович</t>
  </si>
  <si>
    <t>serhii.tesliuk@nure.ua</t>
  </si>
  <si>
    <t>22А 31.05.23</t>
  </si>
  <si>
    <t>Методи та моделі інтелектуального керування транспортним роботом в динамічному просторі приладобудівного виробництва</t>
  </si>
  <si>
    <t>Тітов Георгій Олександрович</t>
  </si>
  <si>
    <t>heorhii.titov@nure.ua</t>
  </si>
  <si>
    <t>Методи та способи підвищення завадостійкості каналів
 передачі інформації вторинних радіолокаційних систем</t>
  </si>
  <si>
    <t>+380503044974</t>
  </si>
  <si>
    <t>Тітов Кирило Георгійович</t>
  </si>
  <si>
    <t>kyrylo.titov1@nure.ua</t>
  </si>
  <si>
    <t>Розробка моделі біологічної дії імпульсного оптичного випромінювання на патогенну мікрофлору і віруси в концепції стерилізації</t>
  </si>
  <si>
    <t>Тітов Кирило Юрійович</t>
  </si>
  <si>
    <t>kyrylo.titov@nure.ua</t>
  </si>
  <si>
    <t>Методи, моделі та інформаційні технології когнітивних обчислень в задачах інтелектуального аналізу гетерогенних даних</t>
  </si>
  <si>
    <t>№23А 01.04.2024 а\в</t>
  </si>
  <si>
    <t>+38 063 717 49 08</t>
  </si>
  <si>
    <t>Ткалич Дмитро Васильович</t>
  </si>
  <si>
    <t>dmytro.tkalych@nure.ua</t>
  </si>
  <si>
    <t>Ткаченко Андрій Геннадійович</t>
  </si>
  <si>
    <t>andrii.tkachenko@nure.ua</t>
  </si>
  <si>
    <t>№36А 06.06.2025 PhD</t>
  </si>
  <si>
    <t>48А 02.10.2023 Колупаєва на Полоз.,№34А 13.06.2024 вихід з а\в, перехід з бюдж на контракт</t>
  </si>
  <si>
    <t>Ткачук Олександр Костянтинович</t>
  </si>
  <si>
    <t>oleksandr.tkachuk@nure.ua</t>
  </si>
  <si>
    <t>Інтелектуальна комп'ютеризована система діагностики патологій в медицині</t>
  </si>
  <si>
    <t>Товкун Юлія Ігорівна</t>
  </si>
  <si>
    <t>yuliia.tovkun@nure.ua</t>
  </si>
  <si>
    <t>Цифрова імунна система розумної електронної держави на основі GenAI-моделювання кіберзагроз</t>
  </si>
  <si>
    <t>Товма Олег Миколайович</t>
  </si>
  <si>
    <t>oleh.tovma@nure.ua</t>
  </si>
  <si>
    <t>Методи криптоаналізу систем заснованих на NTRU перетвореннях</t>
  </si>
  <si>
    <t>Толстолузький Євген Дмитрович</t>
  </si>
  <si>
    <t>Технологія мережевого планування ІТ-проєкту на основі методів мультипаралельної обробки інформації</t>
  </si>
  <si>
    <t>Трунова Тетяна Олегівна</t>
  </si>
  <si>
    <t>tetiana.trunova@nure.ua</t>
  </si>
  <si>
    <t>Методи та інформаційна технологія обробки зображень для визначення координат об'єктів на змазаних кадрах</t>
  </si>
  <si>
    <t>Туз Василь Петрович</t>
  </si>
  <si>
    <t>Чумаков В. І.</t>
  </si>
  <si>
    <t>vasyl.tuz@nure.ua</t>
  </si>
  <si>
    <t>Технологічне забезпечення контролю механічних впливів на мікроструктуровані оптичні волокна</t>
  </si>
  <si>
    <t>Турчин Олексій Андрійович</t>
  </si>
  <si>
    <t>Довгопол Н.В.</t>
  </si>
  <si>
    <t>oleksii.turchyn1@nure.ua</t>
  </si>
  <si>
    <t>Стратегічне планування господарської діяльності підприємства в умовах кризи</t>
  </si>
  <si>
    <t>Тухтаров Владислав Борисович</t>
  </si>
  <si>
    <t>vladyslav.tukhtarov@nure.ua</t>
  </si>
  <si>
    <t>Методи та засоби забезпечення надійності в комп'ютерних системах</t>
  </si>
  <si>
    <t>Удовиченко Олександр Володимирович</t>
  </si>
  <si>
    <t>oleksandr.udovychenko@nure.ua</t>
  </si>
  <si>
    <t>Модель та методи доповненої реальності в умовах геометричних перетворень афінної групи</t>
  </si>
  <si>
    <t>Унгер Віктор Миколайович</t>
  </si>
  <si>
    <t>Козорв Ю.В.</t>
  </si>
  <si>
    <t>viktor.unher@nure.ua</t>
  </si>
  <si>
    <t>Удосконалення методів калібрування витратомірів диференціального тиску</t>
  </si>
  <si>
    <t>Усачов Володимир Олександрович</t>
  </si>
  <si>
    <t>volodymyr.usachov1@nure.ua</t>
  </si>
  <si>
    <t>Моделі і методи побудови кваліметрічних метрик програмних систем навчального призначення</t>
  </si>
  <si>
    <t>НЮУ</t>
  </si>
  <si>
    <t>Файзулаєв Тимур Алійович</t>
  </si>
  <si>
    <t>tymur.faizulaiev@nure.ua</t>
  </si>
  <si>
    <t>Федоров Віталій Миколайович</t>
  </si>
  <si>
    <t>vitalii.fedorov@nure.ua</t>
  </si>
  <si>
    <t>Федосєєнко Андрій Олегович</t>
  </si>
  <si>
    <t>andrii.fedosieienko@nure.ua</t>
  </si>
  <si>
    <t>+380636168409</t>
  </si>
  <si>
    <t>Федурця Юрій Валерійович</t>
  </si>
  <si>
    <t>yurii.fedurtsia@nure.ua</t>
  </si>
  <si>
    <t>Методи та засоби верифікації моделей розподілу дози у променевій терапії</t>
  </si>
  <si>
    <t>Фесенко Антон Володимирович</t>
  </si>
  <si>
    <t>Іванова О.О.</t>
  </si>
  <si>
    <t>anton.fesenko@nure.ua</t>
  </si>
  <si>
    <t>Пошук оптимальних спектральних характеристик формуючих імпульсів для NOMA систем</t>
  </si>
  <si>
    <t>0668449601</t>
  </si>
  <si>
    <t xml:space="preserve">Філімонов Сергій Олександрович </t>
  </si>
  <si>
    <t>serhii.filimonov@nure.ua</t>
  </si>
  <si>
    <t>Індивідуальна параметризація КТ-даних кісток людини при діагностиці системних захворювань скелету</t>
  </si>
  <si>
    <t>0994441480</t>
  </si>
  <si>
    <t>Філіпов Олексій Олексійович</t>
  </si>
  <si>
    <t>oleksii.filipov@nure.ua</t>
  </si>
  <si>
    <t>Методи автоматизованої класифікації та анотації зображень в системах медичного призначення</t>
  </si>
  <si>
    <t>+380992713157</t>
  </si>
  <si>
    <t>Філіппов Владлен Валерійович</t>
  </si>
  <si>
    <t>vladlen.filippov@nure.ua</t>
  </si>
  <si>
    <t>Фісенко Дмитро Михайлович</t>
  </si>
  <si>
    <t>dmytro.fisenko@nure.ua</t>
  </si>
  <si>
    <t>Удосконалення методів прогнозу­вання кіберзагроз на основі машин­ного навчання в хмарних системах</t>
  </si>
  <si>
    <t>Фокін Денис Геннадійович</t>
  </si>
  <si>
    <t>Євдокименко М.О.</t>
  </si>
  <si>
    <t>denys.fokin@nure.ua</t>
  </si>
  <si>
    <t>Стеганографічні методи захисту службової інформації в каналах управління програмно-конфігуро­ваних мереж</t>
  </si>
  <si>
    <t>Фроленко Владислав Олегович</t>
  </si>
  <si>
    <t>vladyslav.frolenko@nure.ua</t>
  </si>
  <si>
    <t>Кільцевий підпис у блокчейн системах на основі некомутативних груп</t>
  </si>
  <si>
    <t>Фролов Дмитро Євгенович</t>
  </si>
  <si>
    <t>dmytro.frolov@nure.ua</t>
  </si>
  <si>
    <t>Фукс Максимілліан Андрійович</t>
  </si>
  <si>
    <t>maksymillian.fuks@nure.ua</t>
  </si>
  <si>
    <t>Ігровий метод побудови графа атак та захисту інфокомунікаційної мережі</t>
  </si>
  <si>
    <t>Фуніков Антон Сергійович</t>
  </si>
  <si>
    <t>anton.funikov@nure.ua</t>
  </si>
  <si>
    <t>Хама Саліх Тарік Аурахман</t>
  </si>
  <si>
    <t>23А 01.04.2024 поновлення</t>
  </si>
  <si>
    <t>Хандак Даниїл Васильович</t>
  </si>
  <si>
    <t>доц. КозиренкоС.І.</t>
  </si>
  <si>
    <t>danyil.khandak@nure.ua</t>
  </si>
  <si>
    <t>Аналіз та класифікація нестаціонарних часових рядів на основі методів машинного навчання</t>
  </si>
  <si>
    <t>№74А 31.10.2024 признач Козиренко,№32А 30.05.2025 а\в з 01.06.2025</t>
  </si>
  <si>
    <t>+380667451156</t>
  </si>
  <si>
    <t>Ханін Гліб Сергійович</t>
  </si>
  <si>
    <t>hlib.khanin@nure.ua</t>
  </si>
  <si>
    <t>Харченко Артем Олександрович</t>
  </si>
  <si>
    <t>artem.kharchenko@nure.ua</t>
  </si>
  <si>
    <t>Харченко Максим Вікторович</t>
  </si>
  <si>
    <t>maksym.kharchenko1@nure.ua</t>
  </si>
  <si>
    <t>Харченко Роман Андрійович</t>
  </si>
  <si>
    <t>Розроблення моделей і методів пошуку в мультимедійних базах даних</t>
  </si>
  <si>
    <t>Хівренко Гліб Олександрович</t>
  </si>
  <si>
    <t>hlib.khivrenko@nure.ua</t>
  </si>
  <si>
    <t>Цифровий підпис стійкий до квантового криптоаналізу на основі некомутативних багатопараметричних груп</t>
  </si>
  <si>
    <t>Ховрат Артем Вячеславович</t>
  </si>
  <si>
    <t>Кобзєв В.Г.</t>
  </si>
  <si>
    <t>artem.khovrat@nure.ua</t>
  </si>
  <si>
    <t>Методологія та моделі виявлення фальсифікованої цифрової інформації у технічних суспільно орієнтованих системах</t>
  </si>
  <si>
    <t>Холєв Владислав Олександрович</t>
  </si>
  <si>
    <t>vladyslav.kholiev@nure.ua</t>
  </si>
  <si>
    <t>Модель та методи для забезпечення високопродуктивної обробки інформаційного контенту у розподіленій інформаційній системі</t>
  </si>
  <si>
    <t>0932715384</t>
  </si>
  <si>
    <t>Холодов Станіслав Євгенович</t>
  </si>
  <si>
    <t>stanislav.kholodov@nure.ua</t>
  </si>
  <si>
    <t>Хоменко Сергій Сергійович</t>
  </si>
  <si>
    <t xml:space="preserve">ПІ </t>
  </si>
  <si>
    <t>serhii.khomenko@nure.ua</t>
  </si>
  <si>
    <t>№14А 29.02.2024</t>
  </si>
  <si>
    <t>Дослідження категорних моделей логічних мереж мозкоподібних комп’ютерних систем</t>
  </si>
  <si>
    <t>№49А 02.10.2023 зміна 122 на 121</t>
  </si>
  <si>
    <t>+380675799296</t>
  </si>
  <si>
    <t>Храмцов Павло Вячеславович</t>
  </si>
  <si>
    <t>pavlo.khramtsov@nure.ua</t>
  </si>
  <si>
    <t>Методи керування та навігації мобільного рою роботів</t>
  </si>
  <si>
    <t>Хруслов Дмитро Олегович</t>
  </si>
  <si>
    <t>dmytro.khruslov@nure.ua</t>
  </si>
  <si>
    <t>Худяков Денис Леонідович</t>
  </si>
  <si>
    <t>denys.khudiakov@nure.ua</t>
  </si>
  <si>
    <t>Оцінка ефективності інноваційно-інвестиційних проєктів на підприємстві в умовах ризику</t>
  </si>
  <si>
    <t>+380505114965</t>
  </si>
  <si>
    <t>Нац. фарм. університет</t>
  </si>
  <si>
    <t>Цвіркун Олександр Анатолійович</t>
  </si>
  <si>
    <t>oleksandr.tsvirkun@nure.ua</t>
  </si>
  <si>
    <t>Моделі, методи та інформаційна технологія вибору хмарних інфраструктурних компонентів сервіс-орієнтованих інформаційних систем управління підприємствами на основі функціональних вимог</t>
  </si>
  <si>
    <t>Цемма Дмитро Олександрович</t>
  </si>
  <si>
    <t>Руженцев В.І</t>
  </si>
  <si>
    <t>dmytro.tsemma@nure.ua</t>
  </si>
  <si>
    <t>Методи оцінювання стійкості малоресурсних симетричних шифрів до диференційно-лінійної атаки</t>
  </si>
  <si>
    <t>Цибульников Дмитро Ігорович</t>
  </si>
  <si>
    <t>Шостко І.С.</t>
  </si>
  <si>
    <t>dmytro.tsybulnykov@nure.ua</t>
  </si>
  <si>
    <t>Підвищення завадо захищеності військових систем бездротового зв’язку</t>
  </si>
  <si>
    <t>+38(099)0525821</t>
  </si>
  <si>
    <t>Цицилін Артем Олексійович</t>
  </si>
  <si>
    <t>artem.tsytsylin@nure.ua</t>
  </si>
  <si>
    <t>Механізм функціонування підприємства в умовах циркулярної економіки</t>
  </si>
  <si>
    <t>Цірульніков Дмитро Володимирович</t>
  </si>
  <si>
    <t>dmytro.tsirulnikov@nure.ua</t>
  </si>
  <si>
    <t>Методи обробки даних з використанням клітинних автоматів в інформаційних системах</t>
  </si>
  <si>
    <t>Цуварєв Вячеслав Олександрович</t>
  </si>
  <si>
    <t>viacheslav.tsuvariev@nure.ua</t>
  </si>
  <si>
    <t>Методи для вдосконалення якості вихідного коду в сучасному об’єктно-орієнтованому програмуванні</t>
  </si>
  <si>
    <t>№30А 12.05.2025 за поруш контр</t>
  </si>
  <si>
    <t>Чайковський Сергій Олександрович</t>
  </si>
  <si>
    <t>serhii.chaikovskyi@nure.ua</t>
  </si>
  <si>
    <t>Чала Ольга Сергіївна</t>
  </si>
  <si>
    <t>olha.chala@nure.ua</t>
  </si>
  <si>
    <t>Швидка класифікація на основі комбінованого навчання нейро-фаззі систем за умов перетин них класів</t>
  </si>
  <si>
    <t>+380675460394</t>
  </si>
  <si>
    <t>Чалий Тарас Володимирович</t>
  </si>
  <si>
    <t>taras.chalyi@nure.ua</t>
  </si>
  <si>
    <t>Контрфактичні моделі, методи та інформаційна технологія підтримки медичних бізнес-процесів</t>
  </si>
  <si>
    <t>ЛДМІ</t>
  </si>
  <si>
    <t>Чаплигін Владислав Сергійович</t>
  </si>
  <si>
    <t>доц. Лінник О.В.</t>
  </si>
  <si>
    <t>vladyslav.chaplyhin@nure.ua</t>
  </si>
  <si>
    <t>Удосконалення методів передачі інформації за допомогою фемтосекундного випромінювача</t>
  </si>
  <si>
    <t>Чеботарьов Руслан Ігорович</t>
  </si>
  <si>
    <t>Вовк О.В.</t>
  </si>
  <si>
    <t>ruslan.chebotarov@nure.ua</t>
  </si>
  <si>
    <t>Дослідження методів забезпечення сталості кольору під час флексографічного друку та їх комп’ютерна підтримка</t>
  </si>
  <si>
    <t>Чеканов Ігор Олегович</t>
  </si>
  <si>
    <t>Григор'єв О.В.</t>
  </si>
  <si>
    <t>ihor.chekanov@nure.ua</t>
  </si>
  <si>
    <t xml:space="preserve">Чекубашева Валерія Андріївна </t>
  </si>
  <si>
    <t>valeriia.chekubasheva@nure.ua</t>
  </si>
  <si>
    <t>Дослідження динамічних процесів у біологічних рідинах з використанням мікро-/нанофлюїдних біосенсорів у низько- та високочастотному діапазонах</t>
  </si>
  <si>
    <t>Чепурна Ірина Сергіївна</t>
  </si>
  <si>
    <t>iryna.chepurna@nure.ua</t>
  </si>
  <si>
    <t>Черниш Данило Сергійович</t>
  </si>
  <si>
    <t>danylo.chernysh@nure.ua</t>
  </si>
  <si>
    <t>Чернишов Дмитро Владиславович</t>
  </si>
  <si>
    <t>dmytro.chernyshov@nure.ua</t>
  </si>
  <si>
    <t>Методи на основі теорії приблизних множин для ефективного виявлення та аналізу шкідливого програмного забезпечення</t>
  </si>
  <si>
    <t>Черніков Дмитро Ігорович</t>
  </si>
  <si>
    <t>Гришко С.В.</t>
  </si>
  <si>
    <t>dmytro.chernikov@nure.ua</t>
  </si>
  <si>
    <t>Механізм стратегічного розвитку підприємства в умовах впливу гібридних загроз</t>
  </si>
  <si>
    <t>+380976506511</t>
  </si>
  <si>
    <t>Чечель Тарас Олегович</t>
  </si>
  <si>
    <t>Носова Т.В.</t>
  </si>
  <si>
    <t>taras.chechel@nure.ua</t>
  </si>
  <si>
    <t>Методи та засоби моделювання напружено-деформованого
 стану ендопротезу фалангового суглобу кисті людини</t>
  </si>
  <si>
    <t>+38(066)-774-6315</t>
  </si>
  <si>
    <t>Чигрин Данил Романович</t>
  </si>
  <si>
    <t>danylo.chyhryn@nure.ua</t>
  </si>
  <si>
    <t>Методи та інформаційна технологія багатофакторного оцінювання професійного вигорання робітників</t>
  </si>
  <si>
    <t xml:space="preserve">Чикун Роман Сергійович </t>
  </si>
  <si>
    <t>roman.chykun@nure.ua</t>
  </si>
  <si>
    <t>Розробка мікросмужкового перенастроюваного сенсору гігагерцового діапазону для визначення розподілу концентрації легуючої домішки напівпровідникових структур</t>
  </si>
  <si>
    <t>Чмутов Юрій Вадимович</t>
  </si>
  <si>
    <t>yurii.chmutov@nure.ua</t>
  </si>
  <si>
    <t>Методи формування простору продуктивних класифікаційних ознак у системах комп’ютерного зору</t>
  </si>
  <si>
    <t>Шалько Євгеній Вячеславович</t>
  </si>
  <si>
    <t>yevhenii.shalko@nure.ua</t>
  </si>
  <si>
    <t>Шамрай Антон Павлович</t>
  </si>
  <si>
    <t>anton.shamrai@nure.ua</t>
  </si>
  <si>
    <t>Синтез векторних зондувальних коливань і структур обробки сигналів систем радіоакустичного зондування атмосфери</t>
  </si>
  <si>
    <t>Шапиро Олексій Костянтинович</t>
  </si>
  <si>
    <t>oleksii.shapyro@nure.ua</t>
  </si>
  <si>
    <t>Шапошник Богдан Володимирович</t>
  </si>
  <si>
    <t>bohdan.shaposhnyk@nure.ua</t>
  </si>
  <si>
    <t>Механізм діагностики ризиків в системі економічної безпеки суб’єктів господарювання</t>
  </si>
  <si>
    <t>№48.02.10.2023 Колупаєва на Степаненко</t>
  </si>
  <si>
    <t>+380996022183</t>
  </si>
  <si>
    <t>Шатило Ігор Юрійович</t>
  </si>
  <si>
    <t>ihor.shatylo@nure.ua</t>
  </si>
  <si>
    <t>Шафроненко Євгеній Олександрович</t>
  </si>
  <si>
    <t>yevhenii.shafronenko@nure.ua</t>
  </si>
  <si>
    <t>Підвищення ефективності виявлення та пеленгації малих БПЛА по акустичному випромінюванню</t>
  </si>
  <si>
    <t>Шашко Олексій В'ячеславович</t>
  </si>
  <si>
    <t>Дейнеко А.О.</t>
  </si>
  <si>
    <t>oleksii.shashko@nure.ua</t>
  </si>
  <si>
    <t>Методи та засоби комп’ютерного зору для створення багатовимірних представлень 3D об’єктів</t>
  </si>
  <si>
    <t>Шевцов Іван Олександрович</t>
  </si>
  <si>
    <t>ivan.shevtsov@nure.ua</t>
  </si>
  <si>
    <t>№22А 26.03.2024 вихід з а\в, зміна кер Бітченко на Фесенко</t>
  </si>
  <si>
    <t>Шевченко Олексій Тарасович</t>
  </si>
  <si>
    <t>oleksii.shevchenko1@nure.ua</t>
  </si>
  <si>
    <t>Нейромережеві методи та засоби виявлення безпілотних літальних апаратів</t>
  </si>
  <si>
    <t>Шеліхов Юрій Олександрович</t>
  </si>
  <si>
    <t>yurii.shelikhov@nure.ua</t>
  </si>
  <si>
    <t>Методи та засоби розподіленої обробки даних в системах контролю мікроклімату</t>
  </si>
  <si>
    <t>+380990690069</t>
  </si>
  <si>
    <t>Шендрик Олексій Миколайович</t>
  </si>
  <si>
    <t>oleksii.shendryk@nure.ua</t>
  </si>
  <si>
    <t>Шерстнюк Дмитро Віталійович</t>
  </si>
  <si>
    <t>dmytro.sherstniuk@nure.ua</t>
  </si>
  <si>
    <t>Метод R-функцій в чисельному аналізі двовимірних задач плазмостатики</t>
  </si>
  <si>
    <t>+380637141922</t>
  </si>
  <si>
    <t>Шестопалов Сергій Сергійович</t>
  </si>
  <si>
    <t>Єременко О.С.</t>
  </si>
  <si>
    <t>serhii.shestopalov@nure.ua</t>
  </si>
  <si>
    <t>Методи управління трафіком із забезпеченням якості обслугову­вання та масштабованості засобами сегментної маршрутизації в програмно-конфігурованих мережах</t>
  </si>
  <si>
    <t>Шеховцов Олександр Володимирович</t>
  </si>
  <si>
    <t>доц. Мартовицький В.О.</t>
  </si>
  <si>
    <t>oleksandr.shekhovtsov1@nure.ua</t>
  </si>
  <si>
    <t>Модель і методи виявлення та ідентифікації малопомітних радіокерованих об'єктів на основі методів глибокого навчання</t>
  </si>
  <si>
    <t>Шибанов Сергiй Вікторович</t>
  </si>
  <si>
    <t>serhii.shybanov@nure.ua</t>
  </si>
  <si>
    <t>Інтелектуальне керування мобільними роботами в умовах невизначеності</t>
  </si>
  <si>
    <t>Шимко Дмитро Ігорович</t>
  </si>
  <si>
    <t>Левикін І.В.</t>
  </si>
  <si>
    <t>dmytro.shymko@nure.ua</t>
  </si>
  <si>
    <t>Методи, моделі та інформаційна технологія автоматизації розробки та конверсії медіа-ресурсів</t>
  </si>
  <si>
    <t>Широкопетлєва Марія Сергіївна</t>
  </si>
  <si>
    <t>marija.shirokopetleva@nure.ua</t>
  </si>
  <si>
    <t>Шкурко Вячеслав Вікторович</t>
  </si>
  <si>
    <t>Поляков А.О.</t>
  </si>
  <si>
    <t>viacheslav.shkurko@nure.ua</t>
  </si>
  <si>
    <t>Методи та моделі штучного інтелекту формування тестів та валідації з підвищеною якістю при розробці програмного забезпечення</t>
  </si>
  <si>
    <t>Шлома Олександр Костянтинович</t>
  </si>
  <si>
    <t>oleksandr.shloma@nure.ua</t>
  </si>
  <si>
    <t>№51А 29.08.2025 зміна Зеленого на Кулішову</t>
  </si>
  <si>
    <t>Шостак Максим Віталійович</t>
  </si>
  <si>
    <t>maksym.shostak@nure.ua</t>
  </si>
  <si>
    <t>Шупилюк Микита Володимирович</t>
  </si>
  <si>
    <t>mykyta.shupyliuk@nure.ua</t>
  </si>
  <si>
    <t>Обробка та розпізнавання рукописного тексту в системах криміналістичного дослідження природніх змін почерку</t>
  </si>
  <si>
    <t>676214, 0967728552</t>
  </si>
  <si>
    <t>Шутько Віктор Валерійович</t>
  </si>
  <si>
    <t>viktor.shutko@nure.ua</t>
  </si>
  <si>
    <t>Моделі, методи та інформаційна технологія стратегічного планування хмарної міграції інформаційних систем</t>
  </si>
  <si>
    <t>Щербань Ігор Миколайович</t>
  </si>
  <si>
    <t>ihor.shcherban@nure.ua</t>
  </si>
  <si>
    <t>Електродинамічні властивості резонаторних зондів для локальної НВЧ діагностики різних об'єктів</t>
  </si>
  <si>
    <t>Юношев Дмитро Євгенійович</t>
  </si>
  <si>
    <t>dmytro.yunoshev@nure.ua</t>
  </si>
  <si>
    <t>Розробка та вдосконалення комп'ютерного програмного забезпечення для оцінки невизначеності вимірювань та аналізу спектрофотометричних даних</t>
  </si>
  <si>
    <t>Юхно Сергій Олександрович</t>
  </si>
  <si>
    <t>serhii.iukhno@nure.ua</t>
  </si>
  <si>
    <t>Односпрямовані фотонно-кристалічні хвилеводи з гіротропними елементами</t>
  </si>
  <si>
    <t>Ющенко Артур Сергійович</t>
  </si>
  <si>
    <t>artur.iushchenko@nure.ua</t>
  </si>
  <si>
    <t>Янбеков Равіль Якубович</t>
  </si>
  <si>
    <t>ravil.yanbekov@nure.ua</t>
  </si>
  <si>
    <t>Двобічні ітераційні методи в задачах математичного моделювання термохімічних процесів</t>
  </si>
  <si>
    <t>+380663730008</t>
  </si>
  <si>
    <t>Ярмола Андрiй Валерiйович</t>
  </si>
  <si>
    <t>andrii.iarmola@nure.ua</t>
  </si>
  <si>
    <t>Методи захисту інформації у відеотракті монітора від перехоплення ПЕМВ з постобробкою нейронними мережами</t>
  </si>
  <si>
    <t>Яровенко Вадим Віталійович</t>
  </si>
  <si>
    <t>Ярошевич Роман Олександрович</t>
  </si>
  <si>
    <t>roman.yaroshevych@nure.ua</t>
  </si>
  <si>
    <t>Моделі та метод підвищення ефективності тактильного Інтернету у комп’ютерних мережах</t>
  </si>
  <si>
    <t>+380979076156</t>
  </si>
  <si>
    <t>Ясінецький Олег Олегович</t>
  </si>
  <si>
    <t>oleh.yasinetskyi@nure.ua</t>
  </si>
  <si>
    <t>Моделі і методи та інформаційна технологія управління бізнес процесами розробки програмних продуктів</t>
  </si>
  <si>
    <t>№82А 28.11.2024 зміна Рубана на Фесенко</t>
  </si>
  <si>
    <t xml:space="preserve">Прізвище, Ім'я, по батькові </t>
  </si>
  <si>
    <t>Спеціаль-ність</t>
  </si>
  <si>
    <t>Керівник</t>
  </si>
  <si>
    <t>Андрушко Дмитро Володимирович</t>
  </si>
  <si>
    <t>8/31/2024</t>
  </si>
  <si>
    <t>dmytro.andrushko@nure.ua</t>
  </si>
  <si>
    <t>Виродов Олександр Павлович</t>
  </si>
  <si>
    <t>інф.</t>
  </si>
  <si>
    <t>Машталір В.П.</t>
  </si>
  <si>
    <t>Костарєв Дмитро Борисович</t>
  </si>
  <si>
    <t>Кіріченко Л.О.</t>
  </si>
  <si>
    <t>dmytro.kostariev@nure.ua</t>
  </si>
  <si>
    <t>Зіарманд Артур Нісарович</t>
  </si>
  <si>
    <t>artur.ziarmand@nure.ua</t>
  </si>
  <si>
    <t>Лещинський Володимир Олександрович</t>
  </si>
  <si>
    <t>9/30/2024</t>
  </si>
  <si>
    <t>volodymyr.leshchynskyi@nure.ua</t>
  </si>
  <si>
    <t>Белікова Тетяна Вячеславівна</t>
  </si>
  <si>
    <t>tetiana.bielikova@nure.ua</t>
  </si>
  <si>
    <t>Хламов Сергій Васильович</t>
  </si>
  <si>
    <t>8/31/2025</t>
  </si>
  <si>
    <t>serhii.khlamov@nure.ua</t>
  </si>
  <si>
    <t>Обрізан Володимир Ігорович</t>
  </si>
  <si>
    <t>10/31/2025</t>
  </si>
  <si>
    <t>vladimir.obrizan@nure.ua</t>
  </si>
  <si>
    <t>Бабенко Михайло Володимирович</t>
  </si>
  <si>
    <t>mykhailo.babenko@nure.ua</t>
  </si>
  <si>
    <t>Чакрян Вадим Хазарович</t>
  </si>
  <si>
    <t>Еременко О.С.</t>
  </si>
  <si>
    <t>vadym.chakrian@nure.ua</t>
  </si>
  <si>
    <t>Петриченко Олександр Вячеславович</t>
  </si>
  <si>
    <t>догл  а дитиною</t>
  </si>
  <si>
    <t>Левикін В.М.</t>
  </si>
  <si>
    <t>10/31/2021</t>
  </si>
  <si>
    <t>oleksandr.petrychenko@nure.ua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</si>
</sst>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\.m\.yyyy"/>
    <numFmt numFmtId="166" formatCode="d/m/yyyy"/>
  </numFmts>
  <fonts count="3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rgb="FF000000"/>
      <name val="Arial"/>
    </font>
    <font>
      <sz val="11"/>
      <color rgb="FF000000"/>
      <name val="Times New Roman"/>
    </font>
    <font>
      <sz val="11"/>
      <color rgb="FF333333"/>
      <name val="Times New Roman"/>
    </font>
    <font>
      <sz val="11"/>
      <color rgb="FF1F1F1F"/>
      <name val="Times New Roman"/>
    </font>
    <font>
      <sz val="12"/>
      <color theme="1"/>
      <name val="&quot;Times New Roman&quot;"/>
    </font>
    <font>
      <sz val="11"/>
      <color rgb="FF202124"/>
      <name val="Times New Roman"/>
    </font>
    <font>
      <sz val="11"/>
      <color theme="1"/>
      <name val="&quot;Times New Roman&quot;"/>
    </font>
    <font>
      <sz val="11"/>
      <color rgb="FF222222"/>
      <name val="Times New Roman"/>
    </font>
    <font>
      <i/>
      <sz val="12"/>
      <color theme="1"/>
      <name val="&quot;Times New Roman&quot;"/>
    </font>
    <font>
      <u/>
      <sz val="11"/>
      <color rgb="FF0563C1"/>
      <name val="Times New Roman"/>
    </font>
    <font>
      <sz val="12"/>
      <color rgb="FF000000"/>
      <name val="&quot;Times New Roman&quot;"/>
    </font>
    <font>
      <u/>
      <sz val="11"/>
      <color rgb="FF000000"/>
      <name val="Times New Roman"/>
    </font>
    <font>
      <u/>
      <sz val="11"/>
      <color rgb="FF000000"/>
      <name val="Times New Roman"/>
    </font>
    <font>
      <u/>
      <sz val="11"/>
      <color rgb="FF06DDF6"/>
      <name val="Times New Roman"/>
    </font>
    <font>
      <u/>
      <sz val="11"/>
      <color rgb="FF000000"/>
      <name val="Times New Roman"/>
    </font>
    <font>
      <u/>
      <sz val="11"/>
      <color rgb="FF1155CC"/>
      <name val="Times New Roman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1"/>
      <color theme="1"/>
      <name val="Arial"/>
    </font>
    <font>
      <sz val="10"/>
      <color theme="1"/>
      <name val="Times New Roman"/>
    </font>
    <font>
      <u/>
      <sz val="11"/>
      <color rgb="FF000000"/>
      <name val="Times New Roman"/>
    </font>
    <font>
      <sz val="11"/>
      <color rgb="FF000000"/>
      <name val="Calibri"/>
    </font>
    <font>
      <sz val="12"/>
      <color rgb="FF000000"/>
      <name val="Calibri"/>
    </font>
    <font>
      <b/>
      <sz val="12"/>
      <color rgb="FF000118"/>
      <name val="&quot;Nunito Sans&quot;"/>
    </font>
    <font>
      <sz val="11"/>
      <color rgb="FF5E5E5E"/>
      <name val="Times New Roman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BEBEB"/>
        <bgColor rgb="FFEBEBE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64" fontId="2" fillId="3" borderId="1" xfId="0" applyNumberFormat="1" applyFont="1" applyFill="1" applyBorder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4" fillId="4" borderId="0" xfId="0" applyFont="1" applyFill="1"/>
    <xf numFmtId="0" fontId="2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5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2" fillId="5" borderId="1" xfId="0" applyFont="1" applyFill="1" applyBorder="1"/>
    <xf numFmtId="165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165" fontId="2" fillId="0" borderId="1" xfId="0" applyNumberFormat="1" applyFont="1" applyBorder="1"/>
    <xf numFmtId="0" fontId="6" fillId="5" borderId="1" xfId="0" applyFont="1" applyFill="1" applyBorder="1"/>
    <xf numFmtId="0" fontId="2" fillId="0" borderId="2" xfId="0" applyFont="1" applyBorder="1" applyAlignment="1">
      <alignment horizontal="left"/>
    </xf>
    <xf numFmtId="0" fontId="7" fillId="0" borderId="0" xfId="0" applyFont="1"/>
    <xf numFmtId="0" fontId="4" fillId="0" borderId="0" xfId="0" applyFont="1" applyAlignment="1">
      <alignment horizontal="left"/>
    </xf>
    <xf numFmtId="0" fontId="2" fillId="5" borderId="0" xfId="0" applyFont="1" applyFill="1" applyAlignment="1">
      <alignment horizontal="left" vertical="top"/>
    </xf>
    <xf numFmtId="0" fontId="4" fillId="5" borderId="1" xfId="0" applyFont="1" applyFill="1" applyBorder="1"/>
    <xf numFmtId="0" fontId="4" fillId="0" borderId="0" xfId="0" applyFont="1" applyAlignment="1">
      <alignment horizontal="left" vertical="top"/>
    </xf>
    <xf numFmtId="0" fontId="7" fillId="0" borderId="1" xfId="0" applyFont="1" applyBorder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9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2" fillId="0" borderId="1" xfId="0" quotePrefix="1" applyFont="1" applyBorder="1"/>
    <xf numFmtId="0" fontId="5" fillId="0" borderId="0" xfId="0" applyFont="1" applyAlignment="1">
      <alignment vertical="top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10" fillId="5" borderId="0" xfId="0" applyFont="1" applyFill="1" applyAlignment="1">
      <alignment horizontal="left"/>
    </xf>
    <xf numFmtId="0" fontId="4" fillId="5" borderId="0" xfId="0" applyFont="1" applyFill="1" applyAlignment="1">
      <alignment horizontal="left" vertical="top"/>
    </xf>
    <xf numFmtId="0" fontId="7" fillId="0" borderId="2" xfId="0" applyFont="1" applyBorder="1"/>
    <xf numFmtId="0" fontId="11" fillId="0" borderId="0" xfId="0" applyFont="1"/>
    <xf numFmtId="0" fontId="12" fillId="0" borderId="0" xfId="0" applyFont="1"/>
    <xf numFmtId="0" fontId="5" fillId="0" borderId="1" xfId="0" applyFont="1" applyBorder="1" applyAlignment="1">
      <alignment horizontal="left" vertical="top"/>
    </xf>
    <xf numFmtId="0" fontId="2" fillId="3" borderId="1" xfId="0" applyFont="1" applyFill="1" applyBorder="1"/>
    <xf numFmtId="0" fontId="10" fillId="0" borderId="0" xfId="0" applyFont="1" applyAlignment="1">
      <alignment horizontal="left"/>
    </xf>
    <xf numFmtId="0" fontId="13" fillId="5" borderId="0" xfId="0" applyFont="1" applyFill="1"/>
    <xf numFmtId="0" fontId="2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 wrapText="1"/>
    </xf>
    <xf numFmtId="14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 vertical="top"/>
    </xf>
    <xf numFmtId="0" fontId="14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/>
    <xf numFmtId="0" fontId="13" fillId="5" borderId="1" xfId="0" applyFont="1" applyFill="1" applyBorder="1"/>
    <xf numFmtId="0" fontId="15" fillId="0" borderId="1" xfId="0" applyFont="1" applyBorder="1"/>
    <xf numFmtId="164" fontId="2" fillId="3" borderId="1" xfId="0" applyNumberFormat="1" applyFont="1" applyFill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16" fillId="6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2" fillId="7" borderId="1" xfId="0" applyFont="1" applyFill="1" applyBorder="1"/>
    <xf numFmtId="0" fontId="3" fillId="5" borderId="1" xfId="0" applyFont="1" applyFill="1" applyBorder="1"/>
    <xf numFmtId="0" fontId="2" fillId="8" borderId="1" xfId="0" applyFont="1" applyFill="1" applyBorder="1"/>
    <xf numFmtId="0" fontId="10" fillId="5" borderId="1" xfId="0" applyFont="1" applyFill="1" applyBorder="1" applyAlignment="1">
      <alignment horizontal="left" vertical="top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10" fillId="0" borderId="1" xfId="0" applyFont="1" applyBorder="1"/>
    <xf numFmtId="0" fontId="24" fillId="0" borderId="1" xfId="0" applyFont="1" applyBorder="1"/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right"/>
    </xf>
    <xf numFmtId="0" fontId="10" fillId="5" borderId="1" xfId="0" applyFont="1" applyFill="1" applyBorder="1" applyAlignment="1">
      <alignment horizontal="left"/>
    </xf>
    <xf numFmtId="0" fontId="25" fillId="0" borderId="1" xfId="0" applyFont="1" applyBorder="1"/>
    <xf numFmtId="0" fontId="19" fillId="0" borderId="1" xfId="0" applyFont="1" applyBorder="1" applyAlignment="1">
      <alignment horizontal="center"/>
    </xf>
    <xf numFmtId="0" fontId="26" fillId="0" borderId="0" xfId="0" applyFont="1"/>
    <xf numFmtId="0" fontId="19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27" fillId="7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28" fillId="0" borderId="0" xfId="0" applyFont="1"/>
    <xf numFmtId="0" fontId="7" fillId="0" borderId="1" xfId="0" applyFont="1" applyBorder="1" applyAlignment="1">
      <alignment horizontal="left"/>
    </xf>
    <xf numFmtId="166" fontId="7" fillId="0" borderId="3" xfId="0" applyNumberFormat="1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6" fillId="0" borderId="0" xfId="0" applyFont="1"/>
    <xf numFmtId="0" fontId="4" fillId="5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olodymyr.ponomarenko1@nure.ua" TargetMode="External"/><Relationship Id="rId3" Type="http://schemas.openxmlformats.org/officeDocument/2006/relationships/hyperlink" Target="mailto:iryna.klymova@nure.ua" TargetMode="External"/><Relationship Id="rId7" Type="http://schemas.openxmlformats.org/officeDocument/2006/relationships/hyperlink" Target="mailto:vladyslav.oliinyk3@nure.ua" TargetMode="External"/><Relationship Id="rId2" Type="http://schemas.openxmlformats.org/officeDocument/2006/relationships/hyperlink" Target="mailto:ihor.ivanov1@nure.ua" TargetMode="External"/><Relationship Id="rId1" Type="http://schemas.openxmlformats.org/officeDocument/2006/relationships/hyperlink" Target="mailto:artur.zinoviev1@nure.ua" TargetMode="External"/><Relationship Id="rId6" Type="http://schemas.openxmlformats.org/officeDocument/2006/relationships/hyperlink" Target="mailto:oleksandr.nelipa1@nure.ua" TargetMode="External"/><Relationship Id="rId5" Type="http://schemas.openxmlformats.org/officeDocument/2006/relationships/hyperlink" Target="mailto:illia.lysenko3@nure.ua" TargetMode="External"/><Relationship Id="rId10" Type="http://schemas.openxmlformats.org/officeDocument/2006/relationships/hyperlink" Target="mailto:dmytro.tsemma1@nure.ua" TargetMode="External"/><Relationship Id="rId4" Type="http://schemas.openxmlformats.org/officeDocument/2006/relationships/hyperlink" Target="mailto:dmytro.lapshyn1@nure.ua" TargetMode="External"/><Relationship Id="rId9" Type="http://schemas.openxmlformats.org/officeDocument/2006/relationships/hyperlink" Target="mailto:oleksii.turchyn1@nure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59"/>
  <sheetViews>
    <sheetView tabSelected="1" zoomScale="115" zoomScaleNormal="115"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32.77734375" customWidth="1"/>
    <col min="2" max="2" width="14.88671875" customWidth="1"/>
    <col min="3" max="3" width="25.88671875" customWidth="1"/>
    <col min="4" max="4" width="17.6640625" customWidth="1"/>
    <col min="5" max="5" width="9.109375" customWidth="1"/>
    <col min="6" max="6" width="13" customWidth="1"/>
    <col min="7" max="7" width="24.109375" customWidth="1"/>
    <col min="8" max="8" width="5.44140625" customWidth="1"/>
    <col min="9" max="9" width="9.21875" customWidth="1"/>
    <col min="10" max="11" width="11.33203125" customWidth="1"/>
    <col min="12" max="12" width="12.21875" customWidth="1"/>
    <col min="13" max="13" width="25" customWidth="1"/>
    <col min="14" max="14" width="16.88671875" customWidth="1"/>
    <col min="15" max="15" width="16.21875" customWidth="1"/>
    <col min="16" max="16" width="25.21875" customWidth="1"/>
    <col min="17" max="17" width="27.109375" customWidth="1"/>
    <col min="18" max="18" width="38.88671875" customWidth="1"/>
    <col min="19" max="19" width="36.109375" customWidth="1"/>
    <col min="20" max="20" width="10.33203125" customWidth="1"/>
    <col min="21" max="21" width="10.21875" customWidth="1"/>
    <col min="22" max="22" width="17.109375" customWidth="1"/>
    <col min="23" max="25" width="13" customWidth="1"/>
  </cols>
  <sheetData>
    <row r="1" spans="1:25" ht="51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9.5" customHeight="1">
      <c r="A2" s="5" t="s">
        <v>25</v>
      </c>
      <c r="B2" s="5" t="s">
        <v>26</v>
      </c>
      <c r="C2" s="5" t="s">
        <v>27</v>
      </c>
      <c r="D2" s="6">
        <v>122</v>
      </c>
      <c r="E2" s="7" t="s">
        <v>28</v>
      </c>
      <c r="F2" s="5"/>
      <c r="G2" s="5"/>
      <c r="H2" s="5">
        <v>2</v>
      </c>
      <c r="I2" s="8">
        <v>45566</v>
      </c>
      <c r="J2" s="9">
        <v>47026</v>
      </c>
      <c r="K2" s="5" t="s">
        <v>29</v>
      </c>
      <c r="L2" s="5" t="s">
        <v>30</v>
      </c>
      <c r="M2" s="10"/>
      <c r="N2" s="5"/>
      <c r="O2" s="5"/>
      <c r="P2" s="11"/>
      <c r="Q2" s="12"/>
      <c r="R2" s="5"/>
      <c r="S2" s="5"/>
      <c r="T2" s="5"/>
      <c r="U2" s="5"/>
      <c r="V2" s="5"/>
      <c r="W2" s="5"/>
      <c r="X2" s="5"/>
      <c r="Y2" s="5" t="s">
        <v>31</v>
      </c>
    </row>
    <row r="3" spans="1:25" ht="19.5" customHeight="1">
      <c r="A3" s="13" t="s">
        <v>32</v>
      </c>
      <c r="B3" s="5" t="s">
        <v>26</v>
      </c>
      <c r="C3" s="5" t="s">
        <v>27</v>
      </c>
      <c r="D3" s="5">
        <v>122</v>
      </c>
      <c r="E3" s="7" t="s">
        <v>33</v>
      </c>
      <c r="F3" s="5"/>
      <c r="G3" s="5" t="s">
        <v>34</v>
      </c>
      <c r="H3" s="5">
        <v>3</v>
      </c>
      <c r="I3" s="8">
        <v>45047</v>
      </c>
      <c r="J3" s="8">
        <v>46507</v>
      </c>
      <c r="K3" s="5" t="s">
        <v>29</v>
      </c>
      <c r="L3" s="5" t="s">
        <v>35</v>
      </c>
      <c r="M3" s="14" t="s">
        <v>36</v>
      </c>
      <c r="N3" s="12" t="s">
        <v>37</v>
      </c>
      <c r="O3" s="5"/>
      <c r="P3" s="15" t="s">
        <v>38</v>
      </c>
      <c r="Q3" s="12"/>
      <c r="R3" s="5"/>
      <c r="S3" s="5"/>
      <c r="T3" s="5" t="s">
        <v>39</v>
      </c>
      <c r="U3" s="16">
        <v>34314</v>
      </c>
      <c r="V3" s="5">
        <f>380683146279</f>
        <v>380683146279</v>
      </c>
      <c r="W3" s="5" t="s">
        <v>40</v>
      </c>
      <c r="X3" s="6">
        <v>2015</v>
      </c>
      <c r="Y3" s="5" t="s">
        <v>41</v>
      </c>
    </row>
    <row r="4" spans="1:25" ht="19.5" customHeight="1">
      <c r="A4" s="13" t="s">
        <v>42</v>
      </c>
      <c r="B4" s="5" t="s">
        <v>26</v>
      </c>
      <c r="C4" s="5" t="s">
        <v>27</v>
      </c>
      <c r="D4" s="6" t="s">
        <v>43</v>
      </c>
      <c r="E4" s="7"/>
      <c r="F4" s="5"/>
      <c r="G4" s="5"/>
      <c r="H4" s="5">
        <v>1</v>
      </c>
      <c r="I4" s="8">
        <v>45931</v>
      </c>
      <c r="J4" s="8">
        <v>47391</v>
      </c>
      <c r="K4" s="5" t="s">
        <v>29</v>
      </c>
      <c r="L4" s="5" t="s">
        <v>30</v>
      </c>
      <c r="M4" s="10" t="s">
        <v>44</v>
      </c>
      <c r="N4" s="5" t="s">
        <v>45</v>
      </c>
      <c r="O4" s="5"/>
      <c r="P4" s="11"/>
      <c r="Q4" s="12"/>
      <c r="R4" s="5"/>
      <c r="S4" s="5"/>
      <c r="T4" s="5"/>
      <c r="U4" s="5"/>
      <c r="V4" s="5"/>
      <c r="W4" s="5"/>
      <c r="X4" s="5"/>
      <c r="Y4" s="5"/>
    </row>
    <row r="5" spans="1:25" ht="19.5" customHeight="1">
      <c r="A5" s="17" t="s">
        <v>46</v>
      </c>
      <c r="B5" s="17" t="s">
        <v>47</v>
      </c>
      <c r="C5" s="17" t="s">
        <v>48</v>
      </c>
      <c r="D5" s="17">
        <v>122</v>
      </c>
      <c r="E5" s="18" t="s">
        <v>33</v>
      </c>
      <c r="F5" s="5"/>
      <c r="G5" s="17" t="s">
        <v>49</v>
      </c>
      <c r="H5" s="17"/>
      <c r="I5" s="19">
        <v>44835</v>
      </c>
      <c r="J5" s="19">
        <v>45900</v>
      </c>
      <c r="K5" s="17" t="s">
        <v>29</v>
      </c>
      <c r="L5" s="17" t="s">
        <v>50</v>
      </c>
      <c r="M5" s="20" t="s">
        <v>51</v>
      </c>
      <c r="N5" s="21" t="s">
        <v>52</v>
      </c>
      <c r="O5" s="5"/>
      <c r="P5" s="22" t="s">
        <v>53</v>
      </c>
      <c r="Q5" s="12" t="s">
        <v>54</v>
      </c>
      <c r="R5" s="5" t="s">
        <v>55</v>
      </c>
      <c r="S5" s="5" t="s">
        <v>56</v>
      </c>
      <c r="T5" s="5" t="s">
        <v>57</v>
      </c>
      <c r="U5" s="16">
        <v>36338</v>
      </c>
      <c r="V5" s="5" t="s">
        <v>58</v>
      </c>
      <c r="W5" s="5" t="s">
        <v>40</v>
      </c>
      <c r="X5" s="6">
        <v>2022</v>
      </c>
      <c r="Y5" s="5"/>
    </row>
    <row r="6" spans="1:25" ht="19.5" customHeight="1">
      <c r="A6" s="17" t="s">
        <v>59</v>
      </c>
      <c r="B6" s="17" t="s">
        <v>26</v>
      </c>
      <c r="C6" s="17" t="s">
        <v>27</v>
      </c>
      <c r="D6" s="17">
        <v>172</v>
      </c>
      <c r="E6" s="18" t="s">
        <v>60</v>
      </c>
      <c r="F6" s="5" t="s">
        <v>61</v>
      </c>
      <c r="G6" s="17" t="s">
        <v>62</v>
      </c>
      <c r="H6" s="17">
        <v>4</v>
      </c>
      <c r="I6" s="19">
        <v>44835</v>
      </c>
      <c r="J6" s="19">
        <v>46295</v>
      </c>
      <c r="K6" s="17" t="s">
        <v>29</v>
      </c>
      <c r="L6" s="17" t="s">
        <v>35</v>
      </c>
      <c r="M6" s="20" t="s">
        <v>63</v>
      </c>
      <c r="N6" s="21" t="s">
        <v>52</v>
      </c>
      <c r="O6" s="5" t="s">
        <v>64</v>
      </c>
      <c r="P6" s="15" t="s">
        <v>65</v>
      </c>
      <c r="Q6" s="12"/>
      <c r="R6" s="5"/>
      <c r="S6" s="5"/>
      <c r="T6" s="5" t="s">
        <v>39</v>
      </c>
      <c r="U6" s="16">
        <v>32626</v>
      </c>
      <c r="V6" s="5" t="s">
        <v>66</v>
      </c>
      <c r="W6" s="5" t="s">
        <v>40</v>
      </c>
      <c r="X6" s="6">
        <v>2011</v>
      </c>
      <c r="Y6" s="5"/>
    </row>
    <row r="7" spans="1:25" ht="19.5" customHeight="1">
      <c r="A7" s="23" t="s">
        <v>67</v>
      </c>
      <c r="B7" s="17" t="s">
        <v>68</v>
      </c>
      <c r="C7" s="17" t="s">
        <v>69</v>
      </c>
      <c r="D7" s="17">
        <v>172</v>
      </c>
      <c r="E7" s="18" t="s">
        <v>60</v>
      </c>
      <c r="F7" s="5"/>
      <c r="G7" s="24" t="s">
        <v>70</v>
      </c>
      <c r="H7" s="17"/>
      <c r="I7" s="25">
        <v>43009</v>
      </c>
      <c r="J7" s="17"/>
      <c r="K7" s="17" t="s">
        <v>29</v>
      </c>
      <c r="L7" s="17" t="s">
        <v>30</v>
      </c>
      <c r="M7" s="17"/>
      <c r="N7" s="5" t="s">
        <v>71</v>
      </c>
      <c r="O7" s="5"/>
      <c r="P7" s="11"/>
      <c r="Q7" s="12"/>
      <c r="R7" s="5"/>
      <c r="S7" s="5" t="s">
        <v>72</v>
      </c>
      <c r="T7" s="5"/>
      <c r="U7" s="8">
        <v>34550</v>
      </c>
      <c r="V7" s="5"/>
      <c r="W7" s="5"/>
      <c r="X7" s="5"/>
      <c r="Y7" s="5"/>
    </row>
    <row r="8" spans="1:25" ht="19.5" customHeight="1">
      <c r="A8" s="26" t="s">
        <v>73</v>
      </c>
      <c r="B8" s="17" t="s">
        <v>26</v>
      </c>
      <c r="C8" s="17" t="s">
        <v>27</v>
      </c>
      <c r="D8" s="27" t="s">
        <v>43</v>
      </c>
      <c r="E8" s="18"/>
      <c r="F8" s="5"/>
      <c r="G8" s="17"/>
      <c r="H8" s="17">
        <v>1</v>
      </c>
      <c r="I8" s="19">
        <v>45931</v>
      </c>
      <c r="J8" s="19">
        <v>47391</v>
      </c>
      <c r="K8" s="17" t="s">
        <v>29</v>
      </c>
      <c r="L8" s="17" t="s">
        <v>30</v>
      </c>
      <c r="M8" s="10" t="s">
        <v>74</v>
      </c>
      <c r="N8" s="5" t="s">
        <v>45</v>
      </c>
      <c r="O8" s="5"/>
      <c r="P8" s="11"/>
      <c r="Q8" s="12"/>
      <c r="R8" s="5"/>
      <c r="S8" s="5"/>
      <c r="T8" s="5"/>
      <c r="U8" s="5"/>
      <c r="V8" s="5"/>
      <c r="W8" s="5"/>
      <c r="X8" s="5"/>
      <c r="Y8" s="5"/>
    </row>
    <row r="9" spans="1:25" ht="19.5" customHeight="1">
      <c r="A9" s="13" t="s">
        <v>75</v>
      </c>
      <c r="B9" s="5" t="s">
        <v>26</v>
      </c>
      <c r="C9" s="5" t="s">
        <v>27</v>
      </c>
      <c r="D9" s="6" t="s">
        <v>76</v>
      </c>
      <c r="E9" s="7" t="s">
        <v>77</v>
      </c>
      <c r="F9" s="5"/>
      <c r="G9" s="5"/>
      <c r="H9" s="5">
        <v>1</v>
      </c>
      <c r="I9" s="8">
        <v>45931</v>
      </c>
      <c r="J9" s="8">
        <v>47391</v>
      </c>
      <c r="K9" s="5" t="s">
        <v>29</v>
      </c>
      <c r="L9" s="5" t="s">
        <v>30</v>
      </c>
      <c r="M9" s="10" t="s">
        <v>78</v>
      </c>
      <c r="N9" s="5" t="s">
        <v>45</v>
      </c>
      <c r="O9" s="5"/>
      <c r="P9" s="11"/>
      <c r="Q9" s="12"/>
      <c r="R9" s="5"/>
      <c r="S9" s="5"/>
      <c r="T9" s="5"/>
      <c r="U9" s="5"/>
      <c r="V9" s="5"/>
      <c r="W9" s="5"/>
      <c r="X9" s="5"/>
      <c r="Y9" s="5"/>
    </row>
    <row r="10" spans="1:25" ht="19.5" customHeight="1">
      <c r="A10" s="28" t="s">
        <v>79</v>
      </c>
      <c r="B10" s="5" t="s">
        <v>26</v>
      </c>
      <c r="C10" s="5" t="s">
        <v>27</v>
      </c>
      <c r="D10" s="29">
        <v>123</v>
      </c>
      <c r="E10" s="30" t="s">
        <v>80</v>
      </c>
      <c r="F10" s="5" t="s">
        <v>81</v>
      </c>
      <c r="G10" s="13" t="s">
        <v>82</v>
      </c>
      <c r="H10" s="5">
        <v>3</v>
      </c>
      <c r="I10" s="8">
        <v>45200</v>
      </c>
      <c r="J10" s="8">
        <v>46660</v>
      </c>
      <c r="K10" s="5" t="s">
        <v>83</v>
      </c>
      <c r="L10" s="5" t="s">
        <v>35</v>
      </c>
      <c r="M10" s="26" t="s">
        <v>84</v>
      </c>
      <c r="N10" s="5" t="s">
        <v>85</v>
      </c>
      <c r="O10" s="5"/>
      <c r="P10" s="17" t="s">
        <v>86</v>
      </c>
      <c r="Q10" s="12"/>
      <c r="R10" s="5"/>
      <c r="S10" s="5" t="s">
        <v>87</v>
      </c>
      <c r="T10" s="31" t="s">
        <v>57</v>
      </c>
      <c r="U10" s="32">
        <v>32091</v>
      </c>
      <c r="V10" s="5"/>
      <c r="W10" s="5"/>
      <c r="X10" s="5"/>
      <c r="Y10" s="5" t="s">
        <v>88</v>
      </c>
    </row>
    <row r="11" spans="1:25" ht="19.5" customHeight="1">
      <c r="A11" s="28" t="s">
        <v>89</v>
      </c>
      <c r="B11" s="5" t="s">
        <v>26</v>
      </c>
      <c r="C11" s="5" t="s">
        <v>27</v>
      </c>
      <c r="D11" s="29">
        <v>163</v>
      </c>
      <c r="E11" s="30" t="s">
        <v>90</v>
      </c>
      <c r="F11" s="5"/>
      <c r="G11" s="13" t="s">
        <v>91</v>
      </c>
      <c r="H11" s="5">
        <v>3</v>
      </c>
      <c r="I11" s="8">
        <v>45200</v>
      </c>
      <c r="J11" s="8">
        <v>46660</v>
      </c>
      <c r="K11" s="5" t="s">
        <v>29</v>
      </c>
      <c r="L11" s="5" t="s">
        <v>35</v>
      </c>
      <c r="M11" s="26" t="s">
        <v>92</v>
      </c>
      <c r="N11" s="5" t="s">
        <v>85</v>
      </c>
      <c r="O11" s="5"/>
      <c r="P11" s="17" t="s">
        <v>93</v>
      </c>
      <c r="Q11" s="12"/>
      <c r="R11" s="5"/>
      <c r="S11" s="5"/>
      <c r="T11" s="31" t="s">
        <v>39</v>
      </c>
      <c r="U11" s="33">
        <v>36413</v>
      </c>
      <c r="V11" s="5"/>
      <c r="W11" s="5"/>
      <c r="X11" s="5"/>
      <c r="Y11" s="5" t="s">
        <v>94</v>
      </c>
    </row>
    <row r="12" spans="1:25" ht="19.5" customHeight="1">
      <c r="A12" s="5" t="s">
        <v>95</v>
      </c>
      <c r="B12" s="5" t="s">
        <v>68</v>
      </c>
      <c r="C12" s="5" t="s">
        <v>96</v>
      </c>
      <c r="D12" s="5">
        <v>122</v>
      </c>
      <c r="E12" s="7" t="s">
        <v>33</v>
      </c>
      <c r="F12" s="5"/>
      <c r="G12" s="5" t="s">
        <v>97</v>
      </c>
      <c r="H12" s="5"/>
      <c r="I12" s="8">
        <v>44835</v>
      </c>
      <c r="J12" s="8">
        <v>46295</v>
      </c>
      <c r="K12" s="5" t="s">
        <v>29</v>
      </c>
      <c r="L12" s="5" t="s">
        <v>35</v>
      </c>
      <c r="M12" s="28" t="s">
        <v>98</v>
      </c>
      <c r="N12" s="21" t="s">
        <v>52</v>
      </c>
      <c r="O12" s="5"/>
      <c r="P12" s="11" t="s">
        <v>99</v>
      </c>
      <c r="Q12" s="12"/>
      <c r="R12" s="5"/>
      <c r="S12" s="5" t="s">
        <v>100</v>
      </c>
      <c r="T12" s="5" t="s">
        <v>39</v>
      </c>
      <c r="U12" s="16">
        <v>31952</v>
      </c>
      <c r="V12" s="5" t="s">
        <v>101</v>
      </c>
      <c r="W12" s="5" t="s">
        <v>40</v>
      </c>
      <c r="X12" s="6">
        <v>2009</v>
      </c>
      <c r="Y12" s="5"/>
    </row>
    <row r="13" spans="1:25" ht="19.5" customHeight="1">
      <c r="A13" s="13" t="s">
        <v>102</v>
      </c>
      <c r="B13" s="5" t="s">
        <v>26</v>
      </c>
      <c r="C13" s="5" t="s">
        <v>27</v>
      </c>
      <c r="D13" s="6" t="s">
        <v>103</v>
      </c>
      <c r="E13" s="7" t="s">
        <v>104</v>
      </c>
      <c r="F13" s="5"/>
      <c r="G13" s="5"/>
      <c r="H13" s="5">
        <v>1</v>
      </c>
      <c r="I13" s="8">
        <v>45931</v>
      </c>
      <c r="J13" s="8">
        <v>47391</v>
      </c>
      <c r="K13" s="5" t="s">
        <v>29</v>
      </c>
      <c r="L13" s="5" t="s">
        <v>30</v>
      </c>
      <c r="M13" s="10" t="s">
        <v>105</v>
      </c>
      <c r="N13" s="5" t="s">
        <v>45</v>
      </c>
      <c r="O13" s="5"/>
      <c r="P13" s="11"/>
      <c r="Q13" s="12"/>
      <c r="R13" s="5"/>
      <c r="S13" s="5"/>
      <c r="T13" s="5"/>
      <c r="U13" s="5"/>
      <c r="V13" s="5"/>
      <c r="W13" s="5"/>
      <c r="X13" s="5"/>
      <c r="Y13" s="5" t="s">
        <v>106</v>
      </c>
    </row>
    <row r="14" spans="1:25" ht="19.5" customHeight="1">
      <c r="A14" s="13" t="s">
        <v>107</v>
      </c>
      <c r="B14" s="5" t="s">
        <v>26</v>
      </c>
      <c r="C14" s="5" t="s">
        <v>27</v>
      </c>
      <c r="D14" s="5">
        <v>123</v>
      </c>
      <c r="E14" s="7" t="s">
        <v>108</v>
      </c>
      <c r="F14" s="5"/>
      <c r="G14" s="5" t="s">
        <v>109</v>
      </c>
      <c r="H14" s="5">
        <v>3</v>
      </c>
      <c r="I14" s="8">
        <v>45047</v>
      </c>
      <c r="J14" s="8">
        <v>46507</v>
      </c>
      <c r="K14" s="5" t="s">
        <v>29</v>
      </c>
      <c r="L14" s="5" t="s">
        <v>35</v>
      </c>
      <c r="M14" s="15" t="s">
        <v>110</v>
      </c>
      <c r="N14" s="12" t="s">
        <v>37</v>
      </c>
      <c r="O14" s="5"/>
      <c r="P14" s="15" t="s">
        <v>111</v>
      </c>
      <c r="Q14" s="12"/>
      <c r="R14" s="5"/>
      <c r="S14" s="5"/>
      <c r="T14" s="5" t="s">
        <v>39</v>
      </c>
      <c r="U14" s="16">
        <v>36636</v>
      </c>
      <c r="V14" s="5">
        <v>380968099004</v>
      </c>
      <c r="W14" s="5" t="s">
        <v>40</v>
      </c>
      <c r="X14" s="6">
        <v>2022</v>
      </c>
      <c r="Y14" s="5" t="s">
        <v>112</v>
      </c>
    </row>
    <row r="15" spans="1:25" ht="19.5" customHeight="1">
      <c r="A15" s="13" t="s">
        <v>113</v>
      </c>
      <c r="B15" s="5" t="s">
        <v>26</v>
      </c>
      <c r="C15" s="5" t="s">
        <v>27</v>
      </c>
      <c r="D15" s="6" t="s">
        <v>114</v>
      </c>
      <c r="E15" s="7" t="s">
        <v>115</v>
      </c>
      <c r="F15" s="5"/>
      <c r="G15" s="5"/>
      <c r="H15" s="5">
        <v>1</v>
      </c>
      <c r="I15" s="8">
        <v>45931</v>
      </c>
      <c r="J15" s="8">
        <v>47391</v>
      </c>
      <c r="K15" s="5" t="s">
        <v>29</v>
      </c>
      <c r="L15" s="5" t="s">
        <v>30</v>
      </c>
      <c r="M15" s="34" t="s">
        <v>116</v>
      </c>
      <c r="N15" s="5" t="s">
        <v>45</v>
      </c>
      <c r="O15" s="5"/>
      <c r="P15" s="35"/>
      <c r="Q15" s="12"/>
      <c r="R15" s="5"/>
      <c r="S15" s="5"/>
      <c r="T15" s="5"/>
      <c r="U15" s="5"/>
      <c r="V15" s="5"/>
      <c r="W15" s="5"/>
      <c r="X15" s="5"/>
      <c r="Y15" s="5"/>
    </row>
    <row r="16" spans="1:25" ht="19.5" customHeight="1">
      <c r="A16" s="5" t="s">
        <v>117</v>
      </c>
      <c r="B16" s="5" t="s">
        <v>26</v>
      </c>
      <c r="C16" s="5" t="s">
        <v>118</v>
      </c>
      <c r="D16" s="5">
        <v>126</v>
      </c>
      <c r="E16" s="7" t="s">
        <v>80</v>
      </c>
      <c r="F16" s="5" t="s">
        <v>81</v>
      </c>
      <c r="G16" s="5" t="s">
        <v>119</v>
      </c>
      <c r="H16" s="5">
        <v>1</v>
      </c>
      <c r="I16" s="8">
        <v>45595</v>
      </c>
      <c r="J16" s="36">
        <v>47055</v>
      </c>
      <c r="K16" s="5" t="s">
        <v>120</v>
      </c>
      <c r="L16" s="5" t="s">
        <v>35</v>
      </c>
      <c r="M16" s="17" t="s">
        <v>121</v>
      </c>
      <c r="N16" s="5" t="s">
        <v>122</v>
      </c>
      <c r="O16" s="5"/>
      <c r="P16" s="11"/>
      <c r="Q16" s="12"/>
      <c r="R16" s="5"/>
      <c r="S16" s="5"/>
      <c r="T16" s="5"/>
      <c r="U16" s="5"/>
      <c r="V16" s="5"/>
      <c r="W16" s="5"/>
      <c r="X16" s="5"/>
      <c r="Y16" s="5"/>
    </row>
    <row r="17" spans="1:25" ht="19.5" customHeight="1">
      <c r="A17" s="13" t="s">
        <v>123</v>
      </c>
      <c r="B17" s="5" t="s">
        <v>47</v>
      </c>
      <c r="C17" s="5" t="s">
        <v>27</v>
      </c>
      <c r="D17" s="5">
        <v>122</v>
      </c>
      <c r="E17" s="7" t="s">
        <v>124</v>
      </c>
      <c r="F17" s="5" t="s">
        <v>125</v>
      </c>
      <c r="G17" s="13" t="s">
        <v>126</v>
      </c>
      <c r="H17" s="5">
        <v>2</v>
      </c>
      <c r="I17" s="8">
        <v>45231</v>
      </c>
      <c r="J17" s="36">
        <v>46691</v>
      </c>
      <c r="K17" s="5" t="s">
        <v>29</v>
      </c>
      <c r="L17" s="5" t="s">
        <v>35</v>
      </c>
      <c r="M17" s="26" t="s">
        <v>127</v>
      </c>
      <c r="N17" s="37" t="s">
        <v>128</v>
      </c>
      <c r="O17" s="5"/>
      <c r="P17" s="17" t="s">
        <v>129</v>
      </c>
      <c r="Q17" s="12"/>
      <c r="R17" s="5"/>
      <c r="S17" s="5"/>
      <c r="T17" s="5"/>
      <c r="U17" s="33">
        <v>33049</v>
      </c>
      <c r="V17" s="5"/>
      <c r="W17" s="5"/>
      <c r="X17" s="5"/>
      <c r="Y17" s="5"/>
    </row>
    <row r="18" spans="1:25" ht="19.5" customHeight="1">
      <c r="A18" s="13" t="s">
        <v>130</v>
      </c>
      <c r="B18" s="5" t="s">
        <v>26</v>
      </c>
      <c r="C18" s="5" t="s">
        <v>27</v>
      </c>
      <c r="D18" s="5">
        <v>172</v>
      </c>
      <c r="E18" s="7" t="s">
        <v>131</v>
      </c>
      <c r="F18" s="5" t="s">
        <v>132</v>
      </c>
      <c r="G18" s="5" t="s">
        <v>133</v>
      </c>
      <c r="H18" s="5">
        <v>3</v>
      </c>
      <c r="I18" s="8">
        <v>45047</v>
      </c>
      <c r="J18" s="8">
        <v>46507</v>
      </c>
      <c r="K18" s="5" t="s">
        <v>29</v>
      </c>
      <c r="L18" s="5" t="s">
        <v>35</v>
      </c>
      <c r="M18" s="15" t="s">
        <v>134</v>
      </c>
      <c r="N18" s="12" t="s">
        <v>37</v>
      </c>
      <c r="O18" s="5"/>
      <c r="P18" s="38" t="s">
        <v>135</v>
      </c>
      <c r="Q18" s="12"/>
      <c r="R18" s="5"/>
      <c r="S18" s="5"/>
      <c r="T18" s="5" t="s">
        <v>39</v>
      </c>
      <c r="U18" s="16">
        <v>35921</v>
      </c>
      <c r="V18" s="5">
        <v>662916801</v>
      </c>
      <c r="W18" s="5" t="s">
        <v>40</v>
      </c>
      <c r="X18" s="6">
        <v>2021</v>
      </c>
      <c r="Y18" s="5" t="s">
        <v>136</v>
      </c>
    </row>
    <row r="19" spans="1:25" ht="19.5" customHeight="1">
      <c r="A19" s="5" t="s">
        <v>137</v>
      </c>
      <c r="B19" s="5" t="s">
        <v>26</v>
      </c>
      <c r="C19" s="5" t="s">
        <v>27</v>
      </c>
      <c r="D19" s="5">
        <v>174</v>
      </c>
      <c r="E19" s="7" t="s">
        <v>138</v>
      </c>
      <c r="F19" s="5" t="s">
        <v>139</v>
      </c>
      <c r="G19" s="5" t="s">
        <v>140</v>
      </c>
      <c r="H19" s="5">
        <v>2</v>
      </c>
      <c r="I19" s="8">
        <v>45566</v>
      </c>
      <c r="J19" s="9">
        <v>47026</v>
      </c>
      <c r="K19" s="5" t="s">
        <v>29</v>
      </c>
      <c r="L19" s="5" t="s">
        <v>141</v>
      </c>
      <c r="M19" s="17" t="s">
        <v>142</v>
      </c>
      <c r="N19" s="5" t="s">
        <v>143</v>
      </c>
      <c r="O19" s="5"/>
      <c r="P19" s="39" t="s">
        <v>144</v>
      </c>
      <c r="Q19" s="12"/>
      <c r="R19" s="5"/>
      <c r="S19" s="5"/>
      <c r="T19" s="5" t="s">
        <v>39</v>
      </c>
      <c r="U19" s="8">
        <v>34750</v>
      </c>
      <c r="V19" s="5"/>
      <c r="W19" s="5"/>
      <c r="X19" s="5"/>
      <c r="Y19" s="5"/>
    </row>
    <row r="20" spans="1:25" ht="19.5" customHeight="1">
      <c r="A20" s="5" t="s">
        <v>145</v>
      </c>
      <c r="B20" s="5" t="s">
        <v>47</v>
      </c>
      <c r="C20" s="5" t="s">
        <v>27</v>
      </c>
      <c r="D20" s="5">
        <v>152</v>
      </c>
      <c r="E20" s="7" t="s">
        <v>146</v>
      </c>
      <c r="F20" s="5"/>
      <c r="G20" s="5" t="s">
        <v>147</v>
      </c>
      <c r="H20" s="6"/>
      <c r="I20" s="8">
        <v>44105</v>
      </c>
      <c r="J20" s="8">
        <v>45743</v>
      </c>
      <c r="K20" s="5" t="s">
        <v>148</v>
      </c>
      <c r="L20" s="5" t="s">
        <v>30</v>
      </c>
      <c r="M20" s="40" t="s">
        <v>149</v>
      </c>
      <c r="N20" s="5" t="s">
        <v>150</v>
      </c>
      <c r="O20" s="5" t="s">
        <v>151</v>
      </c>
      <c r="P20" s="11"/>
      <c r="Q20" s="12" t="s">
        <v>152</v>
      </c>
      <c r="R20" s="5"/>
      <c r="S20" s="5" t="s">
        <v>153</v>
      </c>
      <c r="T20" s="5" t="s">
        <v>39</v>
      </c>
      <c r="U20" s="8">
        <v>35238</v>
      </c>
      <c r="V20" s="5"/>
      <c r="W20" s="5"/>
      <c r="X20" s="5"/>
      <c r="Y20" s="5"/>
    </row>
    <row r="21" spans="1:25" ht="19.5" customHeight="1">
      <c r="A21" s="13" t="s">
        <v>154</v>
      </c>
      <c r="B21" s="5" t="s">
        <v>26</v>
      </c>
      <c r="C21" s="5" t="s">
        <v>27</v>
      </c>
      <c r="D21" s="6" t="s">
        <v>76</v>
      </c>
      <c r="E21" s="7" t="s">
        <v>77</v>
      </c>
      <c r="F21" s="5"/>
      <c r="G21" s="5"/>
      <c r="H21" s="5">
        <v>1</v>
      </c>
      <c r="I21" s="8">
        <v>45931</v>
      </c>
      <c r="J21" s="8">
        <v>47391</v>
      </c>
      <c r="K21" s="5" t="s">
        <v>29</v>
      </c>
      <c r="L21" s="5" t="s">
        <v>30</v>
      </c>
      <c r="M21" s="10" t="s">
        <v>155</v>
      </c>
      <c r="N21" s="5" t="s">
        <v>45</v>
      </c>
      <c r="O21" s="5"/>
      <c r="P21" s="11"/>
      <c r="Q21" s="12"/>
      <c r="R21" s="5"/>
      <c r="S21" s="5"/>
      <c r="T21" s="5"/>
      <c r="U21" s="5"/>
      <c r="V21" s="5"/>
      <c r="W21" s="5"/>
      <c r="X21" s="5"/>
      <c r="Y21" s="5"/>
    </row>
    <row r="22" spans="1:25" ht="19.5" customHeight="1">
      <c r="A22" s="13" t="s">
        <v>156</v>
      </c>
      <c r="B22" s="5" t="s">
        <v>26</v>
      </c>
      <c r="C22" s="5" t="s">
        <v>27</v>
      </c>
      <c r="D22" s="5">
        <v>171</v>
      </c>
      <c r="E22" s="7" t="s">
        <v>115</v>
      </c>
      <c r="F22" s="5"/>
      <c r="G22" s="5" t="s">
        <v>157</v>
      </c>
      <c r="H22" s="5">
        <v>3</v>
      </c>
      <c r="I22" s="8">
        <v>45047</v>
      </c>
      <c r="J22" s="8">
        <v>46507</v>
      </c>
      <c r="K22" s="5" t="s">
        <v>29</v>
      </c>
      <c r="L22" s="5" t="s">
        <v>35</v>
      </c>
      <c r="M22" s="20" t="s">
        <v>158</v>
      </c>
      <c r="N22" s="12" t="s">
        <v>37</v>
      </c>
      <c r="O22" s="5"/>
      <c r="P22" s="38" t="s">
        <v>159</v>
      </c>
      <c r="Q22" s="12"/>
      <c r="R22" s="5"/>
      <c r="S22" s="5"/>
      <c r="T22" s="5" t="s">
        <v>39</v>
      </c>
      <c r="U22" s="16">
        <v>29390</v>
      </c>
      <c r="V22" s="5">
        <v>993528236</v>
      </c>
      <c r="W22" s="5" t="s">
        <v>40</v>
      </c>
      <c r="X22" s="6">
        <v>2002</v>
      </c>
      <c r="Y22" s="5" t="s">
        <v>160</v>
      </c>
    </row>
    <row r="23" spans="1:25" ht="19.5" customHeight="1">
      <c r="A23" s="5" t="s">
        <v>161</v>
      </c>
      <c r="B23" s="5" t="s">
        <v>47</v>
      </c>
      <c r="C23" s="5" t="s">
        <v>27</v>
      </c>
      <c r="D23" s="5">
        <v>151</v>
      </c>
      <c r="E23" s="7" t="s">
        <v>138</v>
      </c>
      <c r="F23" s="5"/>
      <c r="G23" s="5" t="s">
        <v>162</v>
      </c>
      <c r="H23" s="6"/>
      <c r="I23" s="8">
        <v>44105</v>
      </c>
      <c r="J23" s="8">
        <v>45838</v>
      </c>
      <c r="K23" s="5" t="s">
        <v>29</v>
      </c>
      <c r="L23" s="5" t="s">
        <v>35</v>
      </c>
      <c r="M23" s="28" t="s">
        <v>163</v>
      </c>
      <c r="N23" s="5" t="s">
        <v>164</v>
      </c>
      <c r="O23" s="5" t="s">
        <v>151</v>
      </c>
      <c r="P23" s="11"/>
      <c r="Q23" s="12" t="s">
        <v>165</v>
      </c>
      <c r="R23" s="5" t="s">
        <v>55</v>
      </c>
      <c r="S23" s="5" t="s">
        <v>166</v>
      </c>
      <c r="T23" s="5" t="s">
        <v>39</v>
      </c>
      <c r="U23" s="8">
        <v>35141</v>
      </c>
      <c r="V23" s="5"/>
      <c r="W23" s="5"/>
      <c r="X23" s="5"/>
      <c r="Y23" s="5"/>
    </row>
    <row r="24" spans="1:25" ht="19.5" customHeight="1">
      <c r="A24" s="13" t="s">
        <v>167</v>
      </c>
      <c r="B24" s="5" t="s">
        <v>26</v>
      </c>
      <c r="C24" s="5" t="s">
        <v>27</v>
      </c>
      <c r="D24" s="5">
        <v>172</v>
      </c>
      <c r="E24" s="7" t="s">
        <v>131</v>
      </c>
      <c r="F24" s="5" t="s">
        <v>132</v>
      </c>
      <c r="G24" s="5" t="s">
        <v>168</v>
      </c>
      <c r="H24" s="5">
        <v>3</v>
      </c>
      <c r="I24" s="8">
        <v>45047</v>
      </c>
      <c r="J24" s="8">
        <v>46507</v>
      </c>
      <c r="K24" s="5" t="s">
        <v>29</v>
      </c>
      <c r="L24" s="5" t="s">
        <v>35</v>
      </c>
      <c r="M24" s="20" t="s">
        <v>169</v>
      </c>
      <c r="N24" s="12" t="s">
        <v>37</v>
      </c>
      <c r="O24" s="5"/>
      <c r="P24" s="41" t="s">
        <v>170</v>
      </c>
      <c r="Q24" s="12"/>
      <c r="R24" s="5"/>
      <c r="S24" s="5"/>
      <c r="T24" s="5" t="s">
        <v>39</v>
      </c>
      <c r="U24" s="16">
        <v>31841</v>
      </c>
      <c r="V24" s="5">
        <f>380991298929</f>
        <v>380991298929</v>
      </c>
      <c r="W24" s="5" t="s">
        <v>40</v>
      </c>
      <c r="X24" s="6">
        <v>2011</v>
      </c>
      <c r="Y24" s="5" t="s">
        <v>136</v>
      </c>
    </row>
    <row r="25" spans="1:25" ht="19.5" customHeight="1">
      <c r="A25" s="28" t="s">
        <v>171</v>
      </c>
      <c r="B25" s="5" t="s">
        <v>26</v>
      </c>
      <c r="C25" s="5" t="s">
        <v>27</v>
      </c>
      <c r="D25" s="29">
        <v>163</v>
      </c>
      <c r="E25" s="30" t="s">
        <v>90</v>
      </c>
      <c r="F25" s="5"/>
      <c r="G25" s="13" t="s">
        <v>172</v>
      </c>
      <c r="H25" s="5">
        <v>3</v>
      </c>
      <c r="I25" s="8">
        <v>45200</v>
      </c>
      <c r="J25" s="8">
        <v>46660</v>
      </c>
      <c r="K25" s="5" t="s">
        <v>29</v>
      </c>
      <c r="L25" s="5" t="s">
        <v>35</v>
      </c>
      <c r="M25" s="20" t="s">
        <v>173</v>
      </c>
      <c r="N25" s="5" t="s">
        <v>85</v>
      </c>
      <c r="O25" s="5"/>
      <c r="P25" s="17" t="s">
        <v>174</v>
      </c>
      <c r="Q25" s="12"/>
      <c r="R25" s="5"/>
      <c r="S25" s="5"/>
      <c r="T25" s="31" t="s">
        <v>39</v>
      </c>
      <c r="U25" s="33">
        <v>33364</v>
      </c>
      <c r="V25" s="5"/>
      <c r="W25" s="5"/>
      <c r="X25" s="5"/>
      <c r="Y25" s="5" t="s">
        <v>94</v>
      </c>
    </row>
    <row r="26" spans="1:25" ht="19.5" customHeight="1">
      <c r="A26" s="13" t="s">
        <v>175</v>
      </c>
      <c r="B26" s="5" t="s">
        <v>26</v>
      </c>
      <c r="C26" s="5" t="s">
        <v>27</v>
      </c>
      <c r="D26" s="29">
        <v>126</v>
      </c>
      <c r="E26" s="30" t="s">
        <v>80</v>
      </c>
      <c r="F26" s="5" t="s">
        <v>81</v>
      </c>
      <c r="G26" s="13" t="s">
        <v>176</v>
      </c>
      <c r="H26" s="5">
        <v>2</v>
      </c>
      <c r="I26" s="8">
        <v>45231</v>
      </c>
      <c r="J26" s="36">
        <v>46691</v>
      </c>
      <c r="K26" s="5" t="s">
        <v>29</v>
      </c>
      <c r="L26" s="5" t="s">
        <v>35</v>
      </c>
      <c r="M26" s="26" t="s">
        <v>177</v>
      </c>
      <c r="N26" s="37" t="s">
        <v>128</v>
      </c>
      <c r="O26" s="5"/>
      <c r="P26" s="17" t="s">
        <v>178</v>
      </c>
      <c r="Q26" s="12"/>
      <c r="R26" s="5"/>
      <c r="S26" s="5"/>
      <c r="T26" s="5" t="s">
        <v>39</v>
      </c>
      <c r="U26" s="33">
        <v>32371</v>
      </c>
      <c r="V26" s="5"/>
      <c r="W26" s="5"/>
      <c r="X26" s="5"/>
      <c r="Y26" s="5" t="s">
        <v>88</v>
      </c>
    </row>
    <row r="27" spans="1:25" ht="19.5" customHeight="1">
      <c r="A27" s="28" t="s">
        <v>179</v>
      </c>
      <c r="B27" s="5" t="s">
        <v>26</v>
      </c>
      <c r="C27" s="5" t="s">
        <v>27</v>
      </c>
      <c r="D27" s="29">
        <v>172</v>
      </c>
      <c r="E27" s="30" t="s">
        <v>180</v>
      </c>
      <c r="F27" s="5" t="s">
        <v>181</v>
      </c>
      <c r="G27" s="13" t="s">
        <v>182</v>
      </c>
      <c r="H27" s="5">
        <v>3</v>
      </c>
      <c r="I27" s="8">
        <v>45200</v>
      </c>
      <c r="J27" s="8">
        <v>46660</v>
      </c>
      <c r="K27" s="5" t="s">
        <v>29</v>
      </c>
      <c r="L27" s="5" t="s">
        <v>50</v>
      </c>
      <c r="M27" s="26" t="s">
        <v>183</v>
      </c>
      <c r="N27" s="5" t="s">
        <v>85</v>
      </c>
      <c r="O27" s="5" t="s">
        <v>184</v>
      </c>
      <c r="P27" s="17" t="s">
        <v>185</v>
      </c>
      <c r="Q27" s="12"/>
      <c r="R27" s="5"/>
      <c r="S27" s="5"/>
      <c r="T27" s="5" t="s">
        <v>39</v>
      </c>
      <c r="U27" s="33">
        <v>36622</v>
      </c>
      <c r="V27" s="5"/>
      <c r="W27" s="5"/>
      <c r="X27" s="5"/>
      <c r="Y27" s="5"/>
    </row>
    <row r="28" spans="1:25" ht="19.5" customHeight="1">
      <c r="A28" s="5" t="s">
        <v>186</v>
      </c>
      <c r="B28" s="5" t="s">
        <v>47</v>
      </c>
      <c r="C28" s="5" t="s">
        <v>27</v>
      </c>
      <c r="D28" s="29">
        <v>172</v>
      </c>
      <c r="E28" s="30" t="s">
        <v>180</v>
      </c>
      <c r="F28" s="5" t="s">
        <v>181</v>
      </c>
      <c r="G28" s="13" t="s">
        <v>182</v>
      </c>
      <c r="H28" s="5"/>
      <c r="I28" s="8">
        <v>45231</v>
      </c>
      <c r="J28" s="36">
        <v>45743</v>
      </c>
      <c r="K28" s="5" t="s">
        <v>29</v>
      </c>
      <c r="L28" s="5" t="s">
        <v>35</v>
      </c>
      <c r="M28" s="26" t="s">
        <v>187</v>
      </c>
      <c r="N28" s="37" t="s">
        <v>128</v>
      </c>
      <c r="O28" s="5"/>
      <c r="P28" s="17" t="s">
        <v>188</v>
      </c>
      <c r="Q28" s="12" t="s">
        <v>189</v>
      </c>
      <c r="R28" s="5"/>
      <c r="S28" s="5" t="s">
        <v>190</v>
      </c>
      <c r="T28" s="31" t="s">
        <v>39</v>
      </c>
      <c r="U28" s="33">
        <v>35435</v>
      </c>
      <c r="V28" s="5"/>
      <c r="W28" s="5"/>
      <c r="X28" s="5"/>
      <c r="Y28" s="5"/>
    </row>
    <row r="29" spans="1:25" ht="19.5" customHeight="1">
      <c r="A29" s="28" t="s">
        <v>191</v>
      </c>
      <c r="B29" s="5" t="s">
        <v>26</v>
      </c>
      <c r="C29" s="5" t="s">
        <v>27</v>
      </c>
      <c r="D29" s="29">
        <v>51</v>
      </c>
      <c r="E29" s="30" t="s">
        <v>192</v>
      </c>
      <c r="F29" s="5" t="s">
        <v>193</v>
      </c>
      <c r="G29" s="42" t="s">
        <v>194</v>
      </c>
      <c r="H29" s="5">
        <v>3</v>
      </c>
      <c r="I29" s="8">
        <v>45200</v>
      </c>
      <c r="J29" s="8">
        <v>46660</v>
      </c>
      <c r="K29" s="5" t="s">
        <v>29</v>
      </c>
      <c r="L29" s="5" t="s">
        <v>35</v>
      </c>
      <c r="M29" s="20" t="s">
        <v>195</v>
      </c>
      <c r="N29" s="5" t="s">
        <v>85</v>
      </c>
      <c r="O29" s="5"/>
      <c r="P29" s="17" t="s">
        <v>196</v>
      </c>
      <c r="Q29" s="12"/>
      <c r="R29" s="5"/>
      <c r="S29" s="5"/>
      <c r="T29" s="31" t="s">
        <v>39</v>
      </c>
      <c r="U29" s="33">
        <v>35581</v>
      </c>
      <c r="V29" s="5"/>
      <c r="W29" s="5"/>
      <c r="X29" s="5"/>
      <c r="Y29" s="5" t="s">
        <v>41</v>
      </c>
    </row>
    <row r="30" spans="1:25" ht="19.5" customHeight="1">
      <c r="A30" s="28" t="s">
        <v>197</v>
      </c>
      <c r="B30" s="5" t="s">
        <v>26</v>
      </c>
      <c r="C30" s="5" t="s">
        <v>27</v>
      </c>
      <c r="D30" s="29">
        <v>123</v>
      </c>
      <c r="E30" s="30" t="s">
        <v>80</v>
      </c>
      <c r="F30" s="5" t="s">
        <v>81</v>
      </c>
      <c r="G30" s="13" t="s">
        <v>198</v>
      </c>
      <c r="H30" s="5">
        <v>3</v>
      </c>
      <c r="I30" s="8">
        <v>45200</v>
      </c>
      <c r="J30" s="8">
        <v>46660</v>
      </c>
      <c r="K30" s="5" t="s">
        <v>29</v>
      </c>
      <c r="L30" s="5" t="s">
        <v>35</v>
      </c>
      <c r="M30" s="26" t="s">
        <v>199</v>
      </c>
      <c r="N30" s="5" t="s">
        <v>85</v>
      </c>
      <c r="O30" s="5"/>
      <c r="P30" s="17" t="s">
        <v>200</v>
      </c>
      <c r="Q30" s="12"/>
      <c r="R30" s="5"/>
      <c r="S30" s="5" t="s">
        <v>201</v>
      </c>
      <c r="T30" s="31" t="s">
        <v>39</v>
      </c>
      <c r="U30" s="33">
        <v>30835</v>
      </c>
      <c r="V30" s="5"/>
      <c r="W30" s="5"/>
      <c r="X30" s="5"/>
      <c r="Y30" s="5" t="s">
        <v>88</v>
      </c>
    </row>
    <row r="31" spans="1:25" ht="19.5" customHeight="1">
      <c r="A31" s="13" t="s">
        <v>202</v>
      </c>
      <c r="B31" s="5" t="s">
        <v>26</v>
      </c>
      <c r="C31" s="5" t="s">
        <v>27</v>
      </c>
      <c r="D31" s="5">
        <v>113</v>
      </c>
      <c r="E31" s="7" t="s">
        <v>203</v>
      </c>
      <c r="F31" s="5"/>
      <c r="G31" s="5" t="s">
        <v>204</v>
      </c>
      <c r="H31" s="5">
        <v>3</v>
      </c>
      <c r="I31" s="8">
        <v>45047</v>
      </c>
      <c r="J31" s="8">
        <v>46507</v>
      </c>
      <c r="K31" s="5" t="s">
        <v>29</v>
      </c>
      <c r="L31" s="5" t="s">
        <v>35</v>
      </c>
      <c r="M31" s="15" t="s">
        <v>205</v>
      </c>
      <c r="N31" s="12" t="s">
        <v>37</v>
      </c>
      <c r="O31" s="5"/>
      <c r="P31" s="43" t="s">
        <v>206</v>
      </c>
      <c r="Q31" s="12"/>
      <c r="R31" s="5"/>
      <c r="S31" s="5" t="s">
        <v>207</v>
      </c>
      <c r="T31" s="5" t="s">
        <v>39</v>
      </c>
      <c r="U31" s="16">
        <v>36709</v>
      </c>
      <c r="V31" s="5">
        <f>380668754742</f>
        <v>380668754742</v>
      </c>
      <c r="W31" s="5" t="s">
        <v>40</v>
      </c>
      <c r="X31" s="6">
        <v>2022</v>
      </c>
      <c r="Y31" s="5" t="s">
        <v>41</v>
      </c>
    </row>
    <row r="32" spans="1:25" ht="19.5" customHeight="1">
      <c r="A32" s="5" t="s">
        <v>208</v>
      </c>
      <c r="B32" s="5" t="s">
        <v>26</v>
      </c>
      <c r="C32" s="5" t="s">
        <v>118</v>
      </c>
      <c r="D32" s="5">
        <v>113</v>
      </c>
      <c r="E32" s="7" t="s">
        <v>203</v>
      </c>
      <c r="F32" s="5"/>
      <c r="G32" s="5" t="s">
        <v>209</v>
      </c>
      <c r="H32" s="5">
        <v>2</v>
      </c>
      <c r="I32" s="8">
        <v>45566</v>
      </c>
      <c r="J32" s="9">
        <v>47026</v>
      </c>
      <c r="K32" s="5" t="s">
        <v>120</v>
      </c>
      <c r="L32" s="5" t="s">
        <v>35</v>
      </c>
      <c r="M32" s="5" t="s">
        <v>210</v>
      </c>
      <c r="N32" s="5" t="s">
        <v>211</v>
      </c>
      <c r="O32" s="5" t="s">
        <v>184</v>
      </c>
      <c r="P32" s="39" t="s">
        <v>212</v>
      </c>
      <c r="Q32" s="12"/>
      <c r="R32" s="5"/>
      <c r="S32" s="5"/>
      <c r="T32" s="5" t="s">
        <v>39</v>
      </c>
      <c r="U32" s="36">
        <v>36516</v>
      </c>
      <c r="V32" s="5"/>
      <c r="W32" s="5"/>
      <c r="X32" s="5"/>
      <c r="Y32" s="5"/>
    </row>
    <row r="33" spans="1:25" ht="19.5" customHeight="1">
      <c r="A33" s="13" t="s">
        <v>213</v>
      </c>
      <c r="B33" s="5" t="s">
        <v>26</v>
      </c>
      <c r="C33" s="5" t="s">
        <v>27</v>
      </c>
      <c r="D33" s="6" t="s">
        <v>103</v>
      </c>
      <c r="E33" s="7" t="s">
        <v>104</v>
      </c>
      <c r="F33" s="5"/>
      <c r="G33" s="5"/>
      <c r="H33" s="5">
        <v>1</v>
      </c>
      <c r="I33" s="8">
        <v>45931</v>
      </c>
      <c r="J33" s="8">
        <v>47391</v>
      </c>
      <c r="K33" s="5" t="s">
        <v>29</v>
      </c>
      <c r="L33" s="5" t="s">
        <v>30</v>
      </c>
      <c r="M33" s="10" t="s">
        <v>214</v>
      </c>
      <c r="N33" s="5" t="s">
        <v>45</v>
      </c>
      <c r="O33" s="5"/>
      <c r="P33" s="11"/>
      <c r="Q33" s="12"/>
      <c r="R33" s="5"/>
      <c r="S33" s="5"/>
      <c r="T33" s="5"/>
      <c r="U33" s="5"/>
      <c r="V33" s="5"/>
      <c r="W33" s="5"/>
      <c r="X33" s="5"/>
      <c r="Y33" s="5" t="s">
        <v>106</v>
      </c>
    </row>
    <row r="34" spans="1:25" ht="19.5" customHeight="1">
      <c r="A34" s="5" t="s">
        <v>215</v>
      </c>
      <c r="B34" s="5" t="s">
        <v>26</v>
      </c>
      <c r="C34" s="5" t="s">
        <v>27</v>
      </c>
      <c r="D34" s="5">
        <v>105</v>
      </c>
      <c r="E34" s="7" t="s">
        <v>216</v>
      </c>
      <c r="F34" s="5"/>
      <c r="G34" s="5" t="s">
        <v>217</v>
      </c>
      <c r="H34" s="5">
        <v>2</v>
      </c>
      <c r="I34" s="8">
        <v>45566</v>
      </c>
      <c r="J34" s="9">
        <v>47026</v>
      </c>
      <c r="K34" s="5" t="s">
        <v>29</v>
      </c>
      <c r="L34" s="5" t="s">
        <v>141</v>
      </c>
      <c r="M34" s="17" t="s">
        <v>218</v>
      </c>
      <c r="N34" s="5" t="s">
        <v>143</v>
      </c>
      <c r="O34" s="5"/>
      <c r="P34" s="39" t="s">
        <v>219</v>
      </c>
      <c r="Q34" s="12"/>
      <c r="R34" s="5"/>
      <c r="S34" s="5"/>
      <c r="T34" s="5" t="s">
        <v>39</v>
      </c>
      <c r="U34" s="8">
        <v>33704</v>
      </c>
      <c r="V34" s="5"/>
      <c r="W34" s="5"/>
      <c r="X34" s="5"/>
      <c r="Y34" s="5" t="s">
        <v>220</v>
      </c>
    </row>
    <row r="35" spans="1:25" ht="19.5" customHeight="1">
      <c r="A35" s="13" t="s">
        <v>221</v>
      </c>
      <c r="B35" s="5" t="s">
        <v>26</v>
      </c>
      <c r="C35" s="5" t="s">
        <v>27</v>
      </c>
      <c r="D35" s="6" t="s">
        <v>114</v>
      </c>
      <c r="E35" s="7" t="s">
        <v>131</v>
      </c>
      <c r="F35" s="5"/>
      <c r="G35" s="5"/>
      <c r="H35" s="5">
        <v>1</v>
      </c>
      <c r="I35" s="8">
        <v>45931</v>
      </c>
      <c r="J35" s="8">
        <v>47391</v>
      </c>
      <c r="K35" s="5" t="s">
        <v>29</v>
      </c>
      <c r="L35" s="5" t="s">
        <v>30</v>
      </c>
      <c r="M35" s="10" t="s">
        <v>222</v>
      </c>
      <c r="N35" s="5" t="s">
        <v>45</v>
      </c>
      <c r="O35" s="5"/>
      <c r="P35" s="11"/>
      <c r="Q35" s="12"/>
      <c r="R35" s="5"/>
      <c r="S35" s="5"/>
      <c r="T35" s="5"/>
      <c r="U35" s="5"/>
      <c r="V35" s="5"/>
      <c r="W35" s="5"/>
      <c r="X35" s="5"/>
      <c r="Y35" s="5"/>
    </row>
    <row r="36" spans="1:25" ht="19.5" customHeight="1">
      <c r="A36" s="13" t="s">
        <v>223</v>
      </c>
      <c r="B36" s="5" t="s">
        <v>26</v>
      </c>
      <c r="C36" s="5" t="s">
        <v>27</v>
      </c>
      <c r="D36" s="6" t="s">
        <v>114</v>
      </c>
      <c r="E36" s="7" t="s">
        <v>131</v>
      </c>
      <c r="F36" s="5"/>
      <c r="G36" s="5"/>
      <c r="H36" s="5">
        <v>1</v>
      </c>
      <c r="I36" s="8">
        <v>45931</v>
      </c>
      <c r="J36" s="8">
        <v>47391</v>
      </c>
      <c r="K36" s="5" t="s">
        <v>29</v>
      </c>
      <c r="L36" s="5" t="s">
        <v>30</v>
      </c>
      <c r="M36" s="10" t="s">
        <v>224</v>
      </c>
      <c r="N36" s="5" t="s">
        <v>45</v>
      </c>
      <c r="O36" s="5"/>
      <c r="P36" s="11"/>
      <c r="Q36" s="12"/>
      <c r="R36" s="5"/>
      <c r="S36" s="5"/>
      <c r="T36" s="5"/>
      <c r="U36" s="5"/>
      <c r="V36" s="5"/>
      <c r="W36" s="5"/>
      <c r="X36" s="5"/>
      <c r="Y36" s="5"/>
    </row>
    <row r="37" spans="1:25" ht="19.5" customHeight="1">
      <c r="A37" s="5" t="s">
        <v>225</v>
      </c>
      <c r="B37" s="5" t="s">
        <v>26</v>
      </c>
      <c r="C37" s="5" t="s">
        <v>27</v>
      </c>
      <c r="D37" s="5">
        <v>121</v>
      </c>
      <c r="E37" s="30" t="s">
        <v>77</v>
      </c>
      <c r="F37" s="5"/>
      <c r="G37" s="5" t="s">
        <v>226</v>
      </c>
      <c r="H37" s="5">
        <v>4</v>
      </c>
      <c r="I37" s="8">
        <v>44835</v>
      </c>
      <c r="J37" s="8">
        <v>46295</v>
      </c>
      <c r="K37" s="5" t="s">
        <v>29</v>
      </c>
      <c r="L37" s="5" t="s">
        <v>35</v>
      </c>
      <c r="M37" s="20" t="s">
        <v>227</v>
      </c>
      <c r="N37" s="21" t="s">
        <v>52</v>
      </c>
      <c r="O37" s="5" t="s">
        <v>64</v>
      </c>
      <c r="P37" s="40" t="s">
        <v>228</v>
      </c>
      <c r="Q37" s="12"/>
      <c r="R37" s="5"/>
      <c r="S37" s="5"/>
      <c r="T37" s="5" t="s">
        <v>39</v>
      </c>
      <c r="U37" s="16">
        <v>36169</v>
      </c>
      <c r="V37" s="5" t="s">
        <v>229</v>
      </c>
      <c r="W37" s="5" t="s">
        <v>40</v>
      </c>
      <c r="X37" s="6">
        <v>2022</v>
      </c>
      <c r="Y37" s="5"/>
    </row>
    <row r="38" spans="1:25" ht="19.5" customHeight="1">
      <c r="A38" s="28" t="s">
        <v>230</v>
      </c>
      <c r="B38" s="5" t="s">
        <v>26</v>
      </c>
      <c r="C38" s="5" t="s">
        <v>27</v>
      </c>
      <c r="D38" s="29">
        <v>122</v>
      </c>
      <c r="E38" s="30" t="s">
        <v>33</v>
      </c>
      <c r="F38" s="5"/>
      <c r="G38" s="13" t="s">
        <v>34</v>
      </c>
      <c r="H38" s="5">
        <v>3</v>
      </c>
      <c r="I38" s="8">
        <v>45200</v>
      </c>
      <c r="J38" s="8">
        <v>46660</v>
      </c>
      <c r="K38" s="5" t="s">
        <v>29</v>
      </c>
      <c r="L38" s="5" t="s">
        <v>35</v>
      </c>
      <c r="M38" s="26" t="s">
        <v>231</v>
      </c>
      <c r="N38" s="5" t="s">
        <v>85</v>
      </c>
      <c r="O38" s="5"/>
      <c r="P38" s="17" t="s">
        <v>232</v>
      </c>
      <c r="Q38" s="12"/>
      <c r="R38" s="5"/>
      <c r="S38" s="5"/>
      <c r="T38" s="37" t="s">
        <v>39</v>
      </c>
      <c r="U38" s="32">
        <v>33594</v>
      </c>
      <c r="V38" s="5"/>
      <c r="W38" s="5"/>
      <c r="X38" s="5"/>
      <c r="Y38" s="5" t="s">
        <v>41</v>
      </c>
    </row>
    <row r="39" spans="1:25" ht="19.5" customHeight="1">
      <c r="A39" s="5" t="s">
        <v>233</v>
      </c>
      <c r="B39" s="5" t="s">
        <v>26</v>
      </c>
      <c r="C39" s="5" t="s">
        <v>27</v>
      </c>
      <c r="D39" s="5">
        <v>171</v>
      </c>
      <c r="E39" s="7" t="s">
        <v>115</v>
      </c>
      <c r="F39" s="5"/>
      <c r="G39" s="5" t="s">
        <v>234</v>
      </c>
      <c r="H39" s="5">
        <v>2</v>
      </c>
      <c r="I39" s="8">
        <v>45566</v>
      </c>
      <c r="J39" s="9">
        <v>47026</v>
      </c>
      <c r="K39" s="5" t="s">
        <v>29</v>
      </c>
      <c r="L39" s="5" t="s">
        <v>141</v>
      </c>
      <c r="M39" s="17" t="s">
        <v>235</v>
      </c>
      <c r="N39" s="5" t="s">
        <v>143</v>
      </c>
      <c r="O39" s="5"/>
      <c r="P39" s="44" t="s">
        <v>236</v>
      </c>
      <c r="Q39" s="12"/>
      <c r="R39" s="5"/>
      <c r="S39" s="5"/>
      <c r="T39" s="5" t="s">
        <v>39</v>
      </c>
      <c r="U39" s="8">
        <v>29110</v>
      </c>
      <c r="V39" s="5"/>
      <c r="W39" s="5"/>
      <c r="X39" s="5"/>
      <c r="Y39" s="5" t="s">
        <v>160</v>
      </c>
    </row>
    <row r="40" spans="1:25" ht="19.5" customHeight="1">
      <c r="A40" s="5" t="s">
        <v>237</v>
      </c>
      <c r="B40" s="5" t="s">
        <v>26</v>
      </c>
      <c r="C40" s="5" t="s">
        <v>27</v>
      </c>
      <c r="D40" s="5">
        <v>172</v>
      </c>
      <c r="E40" s="30" t="s">
        <v>131</v>
      </c>
      <c r="F40" s="5" t="s">
        <v>238</v>
      </c>
      <c r="G40" s="5" t="s">
        <v>239</v>
      </c>
      <c r="H40" s="5">
        <v>4</v>
      </c>
      <c r="I40" s="8">
        <v>44835</v>
      </c>
      <c r="J40" s="8">
        <v>46295</v>
      </c>
      <c r="K40" s="5" t="s">
        <v>29</v>
      </c>
      <c r="L40" s="5" t="s">
        <v>50</v>
      </c>
      <c r="M40" s="40" t="s">
        <v>240</v>
      </c>
      <c r="N40" s="21" t="s">
        <v>52</v>
      </c>
      <c r="O40" s="5" t="s">
        <v>64</v>
      </c>
      <c r="P40" s="45" t="s">
        <v>241</v>
      </c>
      <c r="Q40" s="12"/>
      <c r="R40" s="5"/>
      <c r="S40" s="5"/>
      <c r="T40" s="5" t="s">
        <v>39</v>
      </c>
      <c r="U40" s="16">
        <v>32305</v>
      </c>
      <c r="V40" s="5" t="s">
        <v>242</v>
      </c>
      <c r="W40" s="5" t="s">
        <v>40</v>
      </c>
      <c r="X40" s="6">
        <v>2010</v>
      </c>
      <c r="Y40" s="5" t="s">
        <v>136</v>
      </c>
    </row>
    <row r="41" spans="1:25" ht="19.5" customHeight="1">
      <c r="A41" s="13" t="s">
        <v>243</v>
      </c>
      <c r="B41" s="5" t="s">
        <v>26</v>
      </c>
      <c r="C41" s="5" t="s">
        <v>27</v>
      </c>
      <c r="D41" s="5">
        <v>113</v>
      </c>
      <c r="E41" s="7" t="s">
        <v>203</v>
      </c>
      <c r="F41" s="5"/>
      <c r="G41" s="5" t="s">
        <v>244</v>
      </c>
      <c r="H41" s="5">
        <v>3</v>
      </c>
      <c r="I41" s="8">
        <v>45047</v>
      </c>
      <c r="J41" s="8">
        <v>46507</v>
      </c>
      <c r="K41" s="5" t="s">
        <v>29</v>
      </c>
      <c r="L41" s="5" t="s">
        <v>35</v>
      </c>
      <c r="M41" s="15" t="s">
        <v>245</v>
      </c>
      <c r="N41" s="12" t="s">
        <v>37</v>
      </c>
      <c r="O41" s="5"/>
      <c r="P41" s="46" t="s">
        <v>246</v>
      </c>
      <c r="Q41" s="12"/>
      <c r="R41" s="5"/>
      <c r="S41" s="5" t="s">
        <v>247</v>
      </c>
      <c r="T41" s="5" t="s">
        <v>39</v>
      </c>
      <c r="U41" s="16">
        <v>35178</v>
      </c>
      <c r="V41" s="5">
        <f>380686000467</f>
        <v>380686000467</v>
      </c>
      <c r="W41" s="5" t="s">
        <v>40</v>
      </c>
      <c r="X41" s="6">
        <v>2019</v>
      </c>
      <c r="Y41" s="5" t="s">
        <v>41</v>
      </c>
    </row>
    <row r="42" spans="1:25" ht="19.5" customHeight="1">
      <c r="A42" s="5" t="s">
        <v>248</v>
      </c>
      <c r="B42" s="5" t="s">
        <v>47</v>
      </c>
      <c r="C42" s="5" t="s">
        <v>27</v>
      </c>
      <c r="D42" s="5">
        <v>123</v>
      </c>
      <c r="E42" s="30" t="s">
        <v>249</v>
      </c>
      <c r="F42" s="5" t="s">
        <v>250</v>
      </c>
      <c r="G42" s="47" t="s">
        <v>251</v>
      </c>
      <c r="H42" s="5"/>
      <c r="I42" s="8">
        <v>44835</v>
      </c>
      <c r="J42" s="8">
        <v>45716</v>
      </c>
      <c r="K42" s="5" t="s">
        <v>29</v>
      </c>
      <c r="L42" s="5" t="s">
        <v>35</v>
      </c>
      <c r="M42" s="40" t="s">
        <v>252</v>
      </c>
      <c r="N42" s="21" t="s">
        <v>52</v>
      </c>
      <c r="O42" s="5"/>
      <c r="P42" s="15" t="s">
        <v>253</v>
      </c>
      <c r="Q42" s="12" t="s">
        <v>254</v>
      </c>
      <c r="R42" s="5"/>
      <c r="S42" s="5" t="s">
        <v>255</v>
      </c>
      <c r="T42" s="5" t="s">
        <v>39</v>
      </c>
      <c r="U42" s="16">
        <v>33610</v>
      </c>
      <c r="V42" s="5" t="s">
        <v>256</v>
      </c>
      <c r="W42" s="5" t="s">
        <v>40</v>
      </c>
      <c r="X42" s="6">
        <v>2014</v>
      </c>
      <c r="Y42" s="5"/>
    </row>
    <row r="43" spans="1:25" ht="19.5" customHeight="1">
      <c r="A43" s="28" t="s">
        <v>257</v>
      </c>
      <c r="B43" s="5" t="s">
        <v>26</v>
      </c>
      <c r="C43" s="5" t="s">
        <v>27</v>
      </c>
      <c r="D43" s="29">
        <v>174</v>
      </c>
      <c r="E43" s="30" t="s">
        <v>138</v>
      </c>
      <c r="F43" s="5" t="s">
        <v>139</v>
      </c>
      <c r="G43" s="13" t="s">
        <v>258</v>
      </c>
      <c r="H43" s="5">
        <v>3</v>
      </c>
      <c r="I43" s="8">
        <v>45200</v>
      </c>
      <c r="J43" s="8">
        <v>46660</v>
      </c>
      <c r="K43" s="5" t="s">
        <v>29</v>
      </c>
      <c r="L43" s="5" t="s">
        <v>35</v>
      </c>
      <c r="M43" s="20" t="s">
        <v>259</v>
      </c>
      <c r="N43" s="5" t="s">
        <v>85</v>
      </c>
      <c r="O43" s="5"/>
      <c r="P43" s="17" t="s">
        <v>260</v>
      </c>
      <c r="Q43" s="12"/>
      <c r="R43" s="5"/>
      <c r="S43" s="5"/>
      <c r="T43" s="31" t="s">
        <v>39</v>
      </c>
      <c r="U43" s="33">
        <v>33736</v>
      </c>
      <c r="V43" s="5"/>
      <c r="W43" s="5"/>
      <c r="X43" s="5"/>
      <c r="Y43" s="5"/>
    </row>
    <row r="44" spans="1:25" ht="19.5" customHeight="1">
      <c r="A44" s="13" t="s">
        <v>261</v>
      </c>
      <c r="B44" s="5" t="s">
        <v>26</v>
      </c>
      <c r="C44" s="5" t="s">
        <v>27</v>
      </c>
      <c r="D44" s="29">
        <v>171</v>
      </c>
      <c r="E44" s="30" t="s">
        <v>262</v>
      </c>
      <c r="F44" s="5"/>
      <c r="G44" s="13" t="s">
        <v>263</v>
      </c>
      <c r="H44" s="5">
        <v>2</v>
      </c>
      <c r="I44" s="8">
        <v>45231</v>
      </c>
      <c r="J44" s="36">
        <v>46691</v>
      </c>
      <c r="K44" s="5" t="s">
        <v>29</v>
      </c>
      <c r="L44" s="5" t="s">
        <v>35</v>
      </c>
      <c r="M44" s="26" t="s">
        <v>264</v>
      </c>
      <c r="N44" s="37" t="s">
        <v>128</v>
      </c>
      <c r="O44" s="5"/>
      <c r="P44" s="17" t="s">
        <v>265</v>
      </c>
      <c r="Q44" s="12"/>
      <c r="R44" s="5"/>
      <c r="S44" s="5"/>
      <c r="T44" s="37" t="s">
        <v>39</v>
      </c>
      <c r="U44" s="33">
        <v>36249</v>
      </c>
      <c r="V44" s="5"/>
      <c r="W44" s="5"/>
      <c r="X44" s="5"/>
      <c r="Y44" s="5" t="s">
        <v>266</v>
      </c>
    </row>
    <row r="45" spans="1:25" ht="19.5" customHeight="1">
      <c r="A45" s="5" t="s">
        <v>267</v>
      </c>
      <c r="B45" s="5" t="s">
        <v>47</v>
      </c>
      <c r="C45" s="5" t="s">
        <v>27</v>
      </c>
      <c r="D45" s="5">
        <v>151</v>
      </c>
      <c r="E45" s="7" t="s">
        <v>138</v>
      </c>
      <c r="F45" s="5" t="s">
        <v>139</v>
      </c>
      <c r="G45" s="5" t="s">
        <v>268</v>
      </c>
      <c r="H45" s="5"/>
      <c r="I45" s="48">
        <v>44470</v>
      </c>
      <c r="J45" s="48">
        <v>45838</v>
      </c>
      <c r="K45" s="5" t="s">
        <v>29</v>
      </c>
      <c r="L45" s="5" t="s">
        <v>30</v>
      </c>
      <c r="M45" s="49" t="s">
        <v>269</v>
      </c>
      <c r="N45" s="12" t="s">
        <v>270</v>
      </c>
      <c r="O45" s="5" t="s">
        <v>271</v>
      </c>
      <c r="P45" s="15" t="s">
        <v>272</v>
      </c>
      <c r="Q45" s="12" t="s">
        <v>273</v>
      </c>
      <c r="R45" s="5" t="s">
        <v>274</v>
      </c>
      <c r="S45" s="5" t="s">
        <v>275</v>
      </c>
      <c r="T45" s="5" t="s">
        <v>39</v>
      </c>
      <c r="U45" s="48">
        <v>35549</v>
      </c>
      <c r="V45" s="5" t="s">
        <v>276</v>
      </c>
      <c r="W45" s="5" t="s">
        <v>40</v>
      </c>
      <c r="X45" s="5">
        <v>2020</v>
      </c>
      <c r="Y45" s="5"/>
    </row>
    <row r="46" spans="1:25" ht="19.5" customHeight="1">
      <c r="A46" s="13" t="s">
        <v>277</v>
      </c>
      <c r="B46" s="5" t="s">
        <v>26</v>
      </c>
      <c r="C46" s="5" t="s">
        <v>27</v>
      </c>
      <c r="D46" s="5">
        <v>172</v>
      </c>
      <c r="E46" s="7" t="s">
        <v>278</v>
      </c>
      <c r="F46" s="5"/>
      <c r="G46" s="5" t="s">
        <v>279</v>
      </c>
      <c r="H46" s="5">
        <v>3</v>
      </c>
      <c r="I46" s="8">
        <v>45047</v>
      </c>
      <c r="J46" s="8">
        <v>46507</v>
      </c>
      <c r="K46" s="5" t="s">
        <v>29</v>
      </c>
      <c r="L46" s="5" t="s">
        <v>35</v>
      </c>
      <c r="M46" s="15" t="s">
        <v>280</v>
      </c>
      <c r="N46" s="12" t="s">
        <v>37</v>
      </c>
      <c r="O46" s="5"/>
      <c r="P46" s="46" t="s">
        <v>281</v>
      </c>
      <c r="Q46" s="12"/>
      <c r="R46" s="5"/>
      <c r="S46" s="5"/>
      <c r="T46" s="5" t="s">
        <v>39</v>
      </c>
      <c r="U46" s="16">
        <v>33908</v>
      </c>
      <c r="V46" s="5">
        <f>380939231366</f>
        <v>380939231366</v>
      </c>
      <c r="W46" s="5" t="s">
        <v>40</v>
      </c>
      <c r="X46" s="6">
        <v>2014</v>
      </c>
      <c r="Y46" s="5" t="s">
        <v>266</v>
      </c>
    </row>
    <row r="47" spans="1:25" ht="19.5" customHeight="1">
      <c r="A47" s="13" t="s">
        <v>282</v>
      </c>
      <c r="B47" s="5" t="s">
        <v>26</v>
      </c>
      <c r="C47" s="5" t="s">
        <v>27</v>
      </c>
      <c r="D47" s="6" t="s">
        <v>283</v>
      </c>
      <c r="E47" s="7" t="s">
        <v>138</v>
      </c>
      <c r="F47" s="5"/>
      <c r="G47" s="5"/>
      <c r="H47" s="5">
        <v>1</v>
      </c>
      <c r="I47" s="8">
        <v>45931</v>
      </c>
      <c r="J47" s="8">
        <v>47391</v>
      </c>
      <c r="K47" s="5" t="s">
        <v>29</v>
      </c>
      <c r="L47" s="5" t="s">
        <v>30</v>
      </c>
      <c r="M47" s="10" t="s">
        <v>284</v>
      </c>
      <c r="N47" s="5" t="s">
        <v>45</v>
      </c>
      <c r="O47" s="5"/>
      <c r="P47" s="11"/>
      <c r="Q47" s="12"/>
      <c r="R47" s="5"/>
      <c r="S47" s="5"/>
      <c r="T47" s="5"/>
      <c r="U47" s="5"/>
      <c r="V47" s="5"/>
      <c r="W47" s="5"/>
      <c r="X47" s="5"/>
      <c r="Y47" s="5"/>
    </row>
    <row r="48" spans="1:25" ht="19.5" customHeight="1">
      <c r="A48" s="5" t="s">
        <v>285</v>
      </c>
      <c r="B48" s="5" t="s">
        <v>26</v>
      </c>
      <c r="C48" s="5" t="s">
        <v>27</v>
      </c>
      <c r="D48" s="5">
        <v>105</v>
      </c>
      <c r="E48" s="7" t="s">
        <v>216</v>
      </c>
      <c r="F48" s="5"/>
      <c r="G48" s="5" t="s">
        <v>286</v>
      </c>
      <c r="H48" s="5">
        <v>2</v>
      </c>
      <c r="I48" s="8">
        <v>45566</v>
      </c>
      <c r="J48" s="9">
        <v>47026</v>
      </c>
      <c r="K48" s="5" t="s">
        <v>29</v>
      </c>
      <c r="L48" s="5" t="s">
        <v>141</v>
      </c>
      <c r="M48" s="17" t="s">
        <v>287</v>
      </c>
      <c r="N48" s="5" t="s">
        <v>143</v>
      </c>
      <c r="O48" s="5"/>
      <c r="P48" s="39" t="s">
        <v>288</v>
      </c>
      <c r="Q48" s="12"/>
      <c r="R48" s="5"/>
      <c r="S48" s="5"/>
      <c r="T48" s="5" t="s">
        <v>39</v>
      </c>
      <c r="U48" s="8">
        <v>31494</v>
      </c>
      <c r="V48" s="5"/>
      <c r="W48" s="5"/>
      <c r="X48" s="5"/>
      <c r="Y48" s="5" t="s">
        <v>220</v>
      </c>
    </row>
    <row r="49" spans="1:25" ht="19.5" customHeight="1">
      <c r="A49" s="5" t="s">
        <v>289</v>
      </c>
      <c r="B49" s="5" t="s">
        <v>26</v>
      </c>
      <c r="C49" s="5" t="s">
        <v>27</v>
      </c>
      <c r="D49" s="5">
        <v>124</v>
      </c>
      <c r="E49" s="7" t="s">
        <v>203</v>
      </c>
      <c r="F49" s="5"/>
      <c r="G49" s="5" t="s">
        <v>290</v>
      </c>
      <c r="H49" s="5">
        <v>2</v>
      </c>
      <c r="I49" s="8">
        <v>45566</v>
      </c>
      <c r="J49" s="9">
        <v>47026</v>
      </c>
      <c r="K49" s="5" t="s">
        <v>29</v>
      </c>
      <c r="L49" s="5" t="s">
        <v>141</v>
      </c>
      <c r="M49" s="17" t="s">
        <v>291</v>
      </c>
      <c r="N49" s="5" t="s">
        <v>143</v>
      </c>
      <c r="O49" s="5"/>
      <c r="P49" s="39" t="s">
        <v>292</v>
      </c>
      <c r="Q49" s="12"/>
      <c r="R49" s="5"/>
      <c r="S49" s="5"/>
      <c r="T49" s="5" t="s">
        <v>39</v>
      </c>
      <c r="U49" s="8">
        <v>31591</v>
      </c>
      <c r="V49" s="5"/>
      <c r="W49" s="5"/>
      <c r="X49" s="5"/>
      <c r="Y49" s="5" t="s">
        <v>41</v>
      </c>
    </row>
    <row r="50" spans="1:25" ht="19.5" customHeight="1">
      <c r="A50" s="13" t="s">
        <v>293</v>
      </c>
      <c r="B50" s="5" t="s">
        <v>26</v>
      </c>
      <c r="C50" s="5" t="s">
        <v>27</v>
      </c>
      <c r="D50" s="5">
        <v>122</v>
      </c>
      <c r="E50" s="7" t="s">
        <v>294</v>
      </c>
      <c r="F50" s="5" t="s">
        <v>295</v>
      </c>
      <c r="G50" s="5" t="s">
        <v>296</v>
      </c>
      <c r="H50" s="5">
        <v>3</v>
      </c>
      <c r="I50" s="8">
        <v>45047</v>
      </c>
      <c r="J50" s="8">
        <v>46507</v>
      </c>
      <c r="K50" s="5" t="s">
        <v>29</v>
      </c>
      <c r="L50" s="5" t="s">
        <v>35</v>
      </c>
      <c r="M50" s="20" t="s">
        <v>297</v>
      </c>
      <c r="N50" s="12" t="s">
        <v>37</v>
      </c>
      <c r="O50" s="5"/>
      <c r="P50" s="46" t="s">
        <v>298</v>
      </c>
      <c r="Q50" s="12"/>
      <c r="R50" s="5"/>
      <c r="S50" s="5"/>
      <c r="T50" s="5" t="s">
        <v>39</v>
      </c>
      <c r="U50" s="16">
        <v>32379</v>
      </c>
      <c r="V50" s="5">
        <f>380632625826</f>
        <v>380632625826</v>
      </c>
      <c r="W50" s="5" t="s">
        <v>40</v>
      </c>
      <c r="X50" s="6">
        <v>2010</v>
      </c>
      <c r="Y50" s="5" t="s">
        <v>299</v>
      </c>
    </row>
    <row r="51" spans="1:25" ht="19.5" customHeight="1">
      <c r="A51" s="5" t="s">
        <v>300</v>
      </c>
      <c r="B51" s="5" t="s">
        <v>47</v>
      </c>
      <c r="C51" s="5" t="s">
        <v>301</v>
      </c>
      <c r="D51" s="5">
        <v>122</v>
      </c>
      <c r="E51" s="7" t="s">
        <v>33</v>
      </c>
      <c r="F51" s="5"/>
      <c r="G51" s="5" t="s">
        <v>302</v>
      </c>
      <c r="H51" s="6"/>
      <c r="I51" s="8">
        <v>44105</v>
      </c>
      <c r="J51" s="8">
        <v>45688</v>
      </c>
      <c r="K51" s="5" t="s">
        <v>29</v>
      </c>
      <c r="L51" s="5" t="s">
        <v>30</v>
      </c>
      <c r="M51" s="40" t="s">
        <v>303</v>
      </c>
      <c r="N51" s="5" t="s">
        <v>150</v>
      </c>
      <c r="O51" s="5" t="s">
        <v>151</v>
      </c>
      <c r="P51" s="15"/>
      <c r="Q51" s="12" t="s">
        <v>304</v>
      </c>
      <c r="R51" s="5"/>
      <c r="S51" s="5" t="s">
        <v>305</v>
      </c>
      <c r="T51" s="5" t="s">
        <v>39</v>
      </c>
      <c r="U51" s="8">
        <v>35606</v>
      </c>
      <c r="V51" s="5"/>
      <c r="W51" s="5"/>
      <c r="X51" s="5"/>
      <c r="Y51" s="5"/>
    </row>
    <row r="52" spans="1:25" ht="19.5" customHeight="1">
      <c r="A52" s="13" t="s">
        <v>306</v>
      </c>
      <c r="B52" s="5" t="s">
        <v>26</v>
      </c>
      <c r="C52" s="5" t="s">
        <v>27</v>
      </c>
      <c r="D52" s="29">
        <v>121</v>
      </c>
      <c r="E52" s="30" t="s">
        <v>77</v>
      </c>
      <c r="F52" s="5"/>
      <c r="G52" s="37" t="s">
        <v>307</v>
      </c>
      <c r="H52" s="5">
        <v>2</v>
      </c>
      <c r="I52" s="8">
        <v>45231</v>
      </c>
      <c r="J52" s="36">
        <v>46691</v>
      </c>
      <c r="K52" s="5" t="s">
        <v>29</v>
      </c>
      <c r="L52" s="5" t="s">
        <v>35</v>
      </c>
      <c r="M52" s="26" t="s">
        <v>308</v>
      </c>
      <c r="N52" s="37" t="s">
        <v>128</v>
      </c>
      <c r="O52" s="5"/>
      <c r="P52" s="17" t="s">
        <v>309</v>
      </c>
      <c r="Q52" s="12"/>
      <c r="R52" s="5"/>
      <c r="S52" s="5"/>
      <c r="T52" s="5" t="s">
        <v>39</v>
      </c>
      <c r="U52" s="32">
        <v>34684</v>
      </c>
      <c r="V52" s="5"/>
      <c r="W52" s="5"/>
      <c r="X52" s="5"/>
      <c r="Y52" s="5" t="s">
        <v>94</v>
      </c>
    </row>
    <row r="53" spans="1:25" ht="19.5" customHeight="1">
      <c r="A53" s="5" t="s">
        <v>310</v>
      </c>
      <c r="B53" s="5" t="s">
        <v>26</v>
      </c>
      <c r="C53" s="5" t="s">
        <v>27</v>
      </c>
      <c r="D53" s="5">
        <v>122</v>
      </c>
      <c r="E53" s="30" t="s">
        <v>294</v>
      </c>
      <c r="F53" s="5" t="s">
        <v>311</v>
      </c>
      <c r="G53" s="5" t="s">
        <v>312</v>
      </c>
      <c r="H53" s="5">
        <v>4</v>
      </c>
      <c r="I53" s="8">
        <v>44835</v>
      </c>
      <c r="J53" s="8">
        <v>46295</v>
      </c>
      <c r="K53" s="5" t="s">
        <v>29</v>
      </c>
      <c r="L53" s="5" t="s">
        <v>35</v>
      </c>
      <c r="M53" s="40" t="s">
        <v>313</v>
      </c>
      <c r="N53" s="21" t="s">
        <v>52</v>
      </c>
      <c r="O53" s="5" t="s">
        <v>64</v>
      </c>
      <c r="P53" s="40" t="s">
        <v>314</v>
      </c>
      <c r="Q53" s="12"/>
      <c r="R53" s="5"/>
      <c r="S53" s="5"/>
      <c r="T53" s="5" t="s">
        <v>39</v>
      </c>
      <c r="U53" s="16">
        <v>26444</v>
      </c>
      <c r="V53" s="5" t="s">
        <v>315</v>
      </c>
      <c r="W53" s="5" t="s">
        <v>40</v>
      </c>
      <c r="X53" s="6">
        <v>1994</v>
      </c>
      <c r="Y53" s="5" t="s">
        <v>299</v>
      </c>
    </row>
    <row r="54" spans="1:25" ht="19.5" customHeight="1">
      <c r="A54" s="5" t="s">
        <v>316</v>
      </c>
      <c r="B54" s="5" t="s">
        <v>26</v>
      </c>
      <c r="C54" s="5" t="s">
        <v>27</v>
      </c>
      <c r="D54" s="5">
        <v>171</v>
      </c>
      <c r="E54" s="30" t="s">
        <v>115</v>
      </c>
      <c r="F54" s="5"/>
      <c r="G54" s="5" t="s">
        <v>317</v>
      </c>
      <c r="H54" s="5">
        <v>4</v>
      </c>
      <c r="I54" s="8">
        <v>44835</v>
      </c>
      <c r="J54" s="8">
        <v>46295</v>
      </c>
      <c r="K54" s="5" t="s">
        <v>29</v>
      </c>
      <c r="L54" s="5" t="s">
        <v>35</v>
      </c>
      <c r="M54" s="40" t="s">
        <v>318</v>
      </c>
      <c r="N54" s="21" t="s">
        <v>52</v>
      </c>
      <c r="O54" s="5" t="s">
        <v>64</v>
      </c>
      <c r="P54" s="15" t="s">
        <v>319</v>
      </c>
      <c r="Q54" s="12"/>
      <c r="R54" s="5"/>
      <c r="S54" s="5"/>
      <c r="T54" s="5" t="s">
        <v>39</v>
      </c>
      <c r="U54" s="16">
        <v>29937</v>
      </c>
      <c r="V54" s="50" t="s">
        <v>320</v>
      </c>
      <c r="W54" s="5" t="s">
        <v>40</v>
      </c>
      <c r="X54" s="6">
        <v>2004</v>
      </c>
      <c r="Y54" s="5" t="s">
        <v>160</v>
      </c>
    </row>
    <row r="55" spans="1:25" ht="19.5" customHeight="1">
      <c r="A55" s="5" t="s">
        <v>321</v>
      </c>
      <c r="B55" s="5" t="s">
        <v>26</v>
      </c>
      <c r="C55" s="5" t="s">
        <v>27</v>
      </c>
      <c r="D55" s="5">
        <v>122</v>
      </c>
      <c r="E55" s="7" t="s">
        <v>322</v>
      </c>
      <c r="F55" s="5"/>
      <c r="G55" s="5" t="s">
        <v>323</v>
      </c>
      <c r="H55" s="5">
        <v>2</v>
      </c>
      <c r="I55" s="8">
        <v>45566</v>
      </c>
      <c r="J55" s="9">
        <v>47026</v>
      </c>
      <c r="K55" s="5" t="s">
        <v>29</v>
      </c>
      <c r="L55" s="5" t="s">
        <v>141</v>
      </c>
      <c r="M55" s="51" t="s">
        <v>324</v>
      </c>
      <c r="N55" s="5" t="s">
        <v>143</v>
      </c>
      <c r="O55" s="5"/>
      <c r="P55" s="39" t="s">
        <v>325</v>
      </c>
      <c r="Q55" s="12"/>
      <c r="R55" s="5"/>
      <c r="S55" s="5"/>
      <c r="T55" s="5" t="s">
        <v>39</v>
      </c>
      <c r="U55" s="8">
        <v>36618</v>
      </c>
      <c r="V55" s="5"/>
      <c r="W55" s="5"/>
      <c r="X55" s="5"/>
      <c r="Y55" s="5"/>
    </row>
    <row r="56" spans="1:25" ht="19.5" customHeight="1">
      <c r="A56" s="13" t="s">
        <v>326</v>
      </c>
      <c r="B56" s="5" t="s">
        <v>26</v>
      </c>
      <c r="C56" s="5" t="s">
        <v>27</v>
      </c>
      <c r="D56" s="5">
        <v>123</v>
      </c>
      <c r="E56" s="7" t="s">
        <v>80</v>
      </c>
      <c r="F56" s="5" t="s">
        <v>327</v>
      </c>
      <c r="G56" s="5" t="s">
        <v>328</v>
      </c>
      <c r="H56" s="5">
        <v>3</v>
      </c>
      <c r="I56" s="8">
        <v>45047</v>
      </c>
      <c r="J56" s="8">
        <v>46507</v>
      </c>
      <c r="K56" s="5" t="s">
        <v>29</v>
      </c>
      <c r="L56" s="5" t="s">
        <v>35</v>
      </c>
      <c r="M56" s="15" t="s">
        <v>329</v>
      </c>
      <c r="N56" s="12" t="s">
        <v>37</v>
      </c>
      <c r="O56" s="5"/>
      <c r="P56" s="46" t="s">
        <v>330</v>
      </c>
      <c r="Q56" s="12"/>
      <c r="R56" s="5"/>
      <c r="S56" s="5"/>
      <c r="T56" s="5" t="s">
        <v>39</v>
      </c>
      <c r="U56" s="16">
        <v>36247</v>
      </c>
      <c r="V56" s="5">
        <f>380990597784</f>
        <v>380990597784</v>
      </c>
      <c r="W56" s="5" t="s">
        <v>40</v>
      </c>
      <c r="X56" s="6">
        <v>2021</v>
      </c>
      <c r="Y56" s="5" t="s">
        <v>88</v>
      </c>
    </row>
    <row r="57" spans="1:25" ht="19.5" customHeight="1">
      <c r="A57" s="5" t="s">
        <v>331</v>
      </c>
      <c r="B57" s="5" t="s">
        <v>26</v>
      </c>
      <c r="C57" s="5" t="s">
        <v>27</v>
      </c>
      <c r="D57" s="5">
        <v>172</v>
      </c>
      <c r="E57" s="7" t="s">
        <v>60</v>
      </c>
      <c r="F57" s="5" t="s">
        <v>61</v>
      </c>
      <c r="G57" s="5" t="s">
        <v>332</v>
      </c>
      <c r="H57" s="5">
        <v>2</v>
      </c>
      <c r="I57" s="8">
        <v>45566</v>
      </c>
      <c r="J57" s="9">
        <v>47026</v>
      </c>
      <c r="K57" s="5" t="s">
        <v>29</v>
      </c>
      <c r="L57" s="5" t="s">
        <v>141</v>
      </c>
      <c r="M57" s="51" t="s">
        <v>333</v>
      </c>
      <c r="N57" s="5" t="s">
        <v>143</v>
      </c>
      <c r="O57" s="5"/>
      <c r="P57" s="39" t="s">
        <v>334</v>
      </c>
      <c r="Q57" s="12"/>
      <c r="R57" s="5"/>
      <c r="S57" s="5"/>
      <c r="T57" s="5" t="s">
        <v>39</v>
      </c>
      <c r="U57" s="8">
        <v>34640</v>
      </c>
      <c r="V57" s="5"/>
      <c r="W57" s="5"/>
      <c r="X57" s="5"/>
      <c r="Y57" s="5"/>
    </row>
    <row r="58" spans="1:25" ht="19.5" customHeight="1">
      <c r="A58" s="52" t="s">
        <v>335</v>
      </c>
      <c r="B58" s="5" t="s">
        <v>26</v>
      </c>
      <c r="C58" s="5" t="s">
        <v>27</v>
      </c>
      <c r="D58" s="29">
        <v>126</v>
      </c>
      <c r="E58" s="30" t="s">
        <v>80</v>
      </c>
      <c r="F58" s="5" t="s">
        <v>81</v>
      </c>
      <c r="G58" s="13" t="s">
        <v>336</v>
      </c>
      <c r="H58" s="5">
        <v>2</v>
      </c>
      <c r="I58" s="8">
        <v>45231</v>
      </c>
      <c r="J58" s="36">
        <v>46691</v>
      </c>
      <c r="K58" s="5" t="s">
        <v>29</v>
      </c>
      <c r="L58" s="5" t="s">
        <v>35</v>
      </c>
      <c r="M58" s="26" t="s">
        <v>337</v>
      </c>
      <c r="N58" s="37" t="s">
        <v>128</v>
      </c>
      <c r="O58" s="5"/>
      <c r="P58" s="17" t="s">
        <v>338</v>
      </c>
      <c r="Q58" s="12"/>
      <c r="R58" s="5"/>
      <c r="S58" s="5"/>
      <c r="T58" s="5" t="s">
        <v>39</v>
      </c>
      <c r="U58" s="33">
        <v>36690</v>
      </c>
      <c r="V58" s="5"/>
      <c r="W58" s="5"/>
      <c r="X58" s="5"/>
      <c r="Y58" s="5" t="s">
        <v>88</v>
      </c>
    </row>
    <row r="59" spans="1:25" ht="19.5" customHeight="1">
      <c r="A59" s="13" t="s">
        <v>339</v>
      </c>
      <c r="B59" s="5" t="s">
        <v>26</v>
      </c>
      <c r="C59" s="5" t="s">
        <v>27</v>
      </c>
      <c r="D59" s="6" t="s">
        <v>283</v>
      </c>
      <c r="E59" s="7" t="s">
        <v>138</v>
      </c>
      <c r="F59" s="5"/>
      <c r="G59" s="5"/>
      <c r="H59" s="5">
        <v>1</v>
      </c>
      <c r="I59" s="8">
        <v>45931</v>
      </c>
      <c r="J59" s="8">
        <v>47391</v>
      </c>
      <c r="K59" s="5" t="s">
        <v>29</v>
      </c>
      <c r="L59" s="5" t="s">
        <v>30</v>
      </c>
      <c r="M59" s="10" t="s">
        <v>340</v>
      </c>
      <c r="N59" s="5" t="s">
        <v>45</v>
      </c>
      <c r="O59" s="5"/>
      <c r="P59" s="11"/>
      <c r="Q59" s="12"/>
      <c r="R59" s="5"/>
      <c r="S59" s="5"/>
      <c r="T59" s="5"/>
      <c r="U59" s="5"/>
      <c r="V59" s="5"/>
      <c r="W59" s="5"/>
      <c r="X59" s="5"/>
      <c r="Y59" s="5"/>
    </row>
    <row r="60" spans="1:25" ht="19.5" customHeight="1">
      <c r="A60" s="5" t="s">
        <v>341</v>
      </c>
      <c r="B60" s="5" t="s">
        <v>26</v>
      </c>
      <c r="C60" s="5" t="s">
        <v>27</v>
      </c>
      <c r="D60" s="5">
        <v>123</v>
      </c>
      <c r="E60" s="7" t="s">
        <v>80</v>
      </c>
      <c r="F60" s="5" t="s">
        <v>81</v>
      </c>
      <c r="G60" s="5" t="s">
        <v>342</v>
      </c>
      <c r="H60" s="5">
        <v>2</v>
      </c>
      <c r="I60" s="8">
        <v>45566</v>
      </c>
      <c r="J60" s="9">
        <v>47026</v>
      </c>
      <c r="K60" s="5" t="s">
        <v>29</v>
      </c>
      <c r="L60" s="5" t="s">
        <v>141</v>
      </c>
      <c r="M60" s="5" t="s">
        <v>343</v>
      </c>
      <c r="N60" s="5" t="s">
        <v>143</v>
      </c>
      <c r="O60" s="5"/>
      <c r="P60" s="39" t="s">
        <v>344</v>
      </c>
      <c r="Q60" s="12"/>
      <c r="R60" s="5"/>
      <c r="S60" s="5"/>
      <c r="T60" s="5" t="s">
        <v>39</v>
      </c>
      <c r="U60" s="8">
        <v>35871</v>
      </c>
      <c r="V60" s="5"/>
      <c r="W60" s="5"/>
      <c r="X60" s="5"/>
      <c r="Y60" s="5" t="s">
        <v>88</v>
      </c>
    </row>
    <row r="61" spans="1:25" ht="19.5" customHeight="1">
      <c r="A61" s="5" t="s">
        <v>345</v>
      </c>
      <c r="B61" s="5" t="s">
        <v>26</v>
      </c>
      <c r="C61" s="5" t="s">
        <v>27</v>
      </c>
      <c r="D61" s="5">
        <v>105</v>
      </c>
      <c r="E61" s="7" t="s">
        <v>216</v>
      </c>
      <c r="F61" s="5"/>
      <c r="G61" s="5" t="s">
        <v>346</v>
      </c>
      <c r="H61" s="5">
        <v>2</v>
      </c>
      <c r="I61" s="8">
        <v>45566</v>
      </c>
      <c r="J61" s="9">
        <v>47026</v>
      </c>
      <c r="K61" s="5" t="s">
        <v>29</v>
      </c>
      <c r="L61" s="5" t="s">
        <v>141</v>
      </c>
      <c r="M61" s="17" t="s">
        <v>347</v>
      </c>
      <c r="N61" s="5" t="s">
        <v>143</v>
      </c>
      <c r="O61" s="5"/>
      <c r="P61" s="39" t="s">
        <v>348</v>
      </c>
      <c r="Q61" s="12"/>
      <c r="R61" s="5"/>
      <c r="S61" s="5"/>
      <c r="T61" s="5" t="s">
        <v>39</v>
      </c>
      <c r="U61" s="8">
        <v>29894</v>
      </c>
      <c r="V61" s="5"/>
      <c r="W61" s="5"/>
      <c r="X61" s="5"/>
      <c r="Y61" s="5" t="s">
        <v>220</v>
      </c>
    </row>
    <row r="62" spans="1:25" ht="19.5" customHeight="1">
      <c r="A62" s="5" t="s">
        <v>349</v>
      </c>
      <c r="B62" s="5" t="s">
        <v>26</v>
      </c>
      <c r="C62" s="5" t="s">
        <v>27</v>
      </c>
      <c r="D62" s="5">
        <v>126</v>
      </c>
      <c r="E62" s="7" t="s">
        <v>80</v>
      </c>
      <c r="F62" s="5" t="s">
        <v>81</v>
      </c>
      <c r="G62" s="17" t="s">
        <v>350</v>
      </c>
      <c r="H62" s="5">
        <v>2</v>
      </c>
      <c r="I62" s="8">
        <v>45566</v>
      </c>
      <c r="J62" s="9">
        <v>47026</v>
      </c>
      <c r="K62" s="5" t="s">
        <v>29</v>
      </c>
      <c r="L62" s="5" t="s">
        <v>141</v>
      </c>
      <c r="M62" s="17" t="s">
        <v>351</v>
      </c>
      <c r="N62" s="5" t="s">
        <v>143</v>
      </c>
      <c r="O62" s="5"/>
      <c r="P62" s="39" t="s">
        <v>352</v>
      </c>
      <c r="Q62" s="12"/>
      <c r="R62" s="5"/>
      <c r="S62" s="5"/>
      <c r="T62" s="5" t="s">
        <v>39</v>
      </c>
      <c r="U62" s="36">
        <v>36096</v>
      </c>
      <c r="V62" s="5"/>
      <c r="W62" s="5"/>
      <c r="X62" s="5"/>
      <c r="Y62" s="5" t="s">
        <v>88</v>
      </c>
    </row>
    <row r="63" spans="1:25" ht="19.5" customHeight="1">
      <c r="A63" s="28" t="s">
        <v>353</v>
      </c>
      <c r="B63" s="5" t="s">
        <v>26</v>
      </c>
      <c r="C63" s="5" t="s">
        <v>27</v>
      </c>
      <c r="D63" s="29">
        <v>51</v>
      </c>
      <c r="E63" s="30" t="s">
        <v>192</v>
      </c>
      <c r="F63" s="5" t="s">
        <v>193</v>
      </c>
      <c r="G63" s="26" t="s">
        <v>354</v>
      </c>
      <c r="H63" s="5">
        <v>3</v>
      </c>
      <c r="I63" s="8">
        <v>45200</v>
      </c>
      <c r="J63" s="8">
        <v>46660</v>
      </c>
      <c r="K63" s="5" t="s">
        <v>29</v>
      </c>
      <c r="L63" s="5" t="s">
        <v>35</v>
      </c>
      <c r="M63" s="26" t="s">
        <v>355</v>
      </c>
      <c r="N63" s="5" t="s">
        <v>85</v>
      </c>
      <c r="O63" s="5"/>
      <c r="P63" s="17" t="s">
        <v>356</v>
      </c>
      <c r="Q63" s="12"/>
      <c r="R63" s="5"/>
      <c r="S63" s="5"/>
      <c r="T63" s="31" t="s">
        <v>39</v>
      </c>
      <c r="U63" s="33">
        <v>35865</v>
      </c>
      <c r="V63" s="5"/>
      <c r="W63" s="5"/>
      <c r="X63" s="5"/>
      <c r="Y63" s="5" t="s">
        <v>41</v>
      </c>
    </row>
    <row r="64" spans="1:25" ht="17.25" customHeight="1">
      <c r="A64" s="28" t="s">
        <v>357</v>
      </c>
      <c r="B64" s="5" t="s">
        <v>26</v>
      </c>
      <c r="C64" s="5" t="s">
        <v>27</v>
      </c>
      <c r="D64" s="29">
        <v>105</v>
      </c>
      <c r="E64" s="30" t="s">
        <v>216</v>
      </c>
      <c r="F64" s="5"/>
      <c r="G64" s="13" t="s">
        <v>358</v>
      </c>
      <c r="H64" s="5">
        <v>3</v>
      </c>
      <c r="I64" s="8">
        <v>45200</v>
      </c>
      <c r="J64" s="8">
        <v>46660</v>
      </c>
      <c r="K64" s="5" t="s">
        <v>29</v>
      </c>
      <c r="L64" s="5" t="s">
        <v>35</v>
      </c>
      <c r="M64" s="20" t="s">
        <v>359</v>
      </c>
      <c r="N64" s="5" t="s">
        <v>85</v>
      </c>
      <c r="O64" s="5"/>
      <c r="P64" s="17" t="s">
        <v>360</v>
      </c>
      <c r="Q64" s="12"/>
      <c r="R64" s="5"/>
      <c r="S64" s="5" t="s">
        <v>361</v>
      </c>
      <c r="T64" s="31" t="s">
        <v>39</v>
      </c>
      <c r="U64" s="33">
        <v>31541</v>
      </c>
      <c r="V64" s="5"/>
      <c r="W64" s="5"/>
      <c r="X64" s="5"/>
      <c r="Y64" s="5" t="s">
        <v>220</v>
      </c>
    </row>
    <row r="65" spans="1:25" ht="19.5" customHeight="1">
      <c r="A65" s="5" t="s">
        <v>362</v>
      </c>
      <c r="B65" s="5" t="s">
        <v>26</v>
      </c>
      <c r="C65" s="5" t="s">
        <v>27</v>
      </c>
      <c r="D65" s="5">
        <v>121</v>
      </c>
      <c r="E65" s="7" t="s">
        <v>77</v>
      </c>
      <c r="F65" s="5"/>
      <c r="G65" s="5" t="s">
        <v>363</v>
      </c>
      <c r="H65" s="5">
        <v>2</v>
      </c>
      <c r="I65" s="8">
        <v>45566</v>
      </c>
      <c r="J65" s="9">
        <v>47026</v>
      </c>
      <c r="K65" s="5" t="s">
        <v>29</v>
      </c>
      <c r="L65" s="5" t="s">
        <v>141</v>
      </c>
      <c r="M65" s="17" t="s">
        <v>364</v>
      </c>
      <c r="N65" s="5" t="s">
        <v>143</v>
      </c>
      <c r="O65" s="5"/>
      <c r="P65" s="39" t="s">
        <v>365</v>
      </c>
      <c r="Q65" s="12"/>
      <c r="R65" s="5"/>
      <c r="S65" s="5"/>
      <c r="T65" s="5" t="s">
        <v>39</v>
      </c>
      <c r="U65" s="8">
        <v>36942</v>
      </c>
      <c r="V65" s="5"/>
      <c r="W65" s="5"/>
      <c r="X65" s="5"/>
      <c r="Y65" s="5" t="s">
        <v>94</v>
      </c>
    </row>
    <row r="66" spans="1:25" ht="19.5" customHeight="1">
      <c r="A66" s="5" t="s">
        <v>366</v>
      </c>
      <c r="B66" s="5" t="s">
        <v>26</v>
      </c>
      <c r="C66" s="5" t="s">
        <v>27</v>
      </c>
      <c r="D66" s="5">
        <v>122</v>
      </c>
      <c r="E66" s="7" t="s">
        <v>33</v>
      </c>
      <c r="F66" s="5"/>
      <c r="G66" s="5" t="s">
        <v>367</v>
      </c>
      <c r="H66" s="5">
        <v>2</v>
      </c>
      <c r="I66" s="8">
        <v>45566</v>
      </c>
      <c r="J66" s="9">
        <v>47026</v>
      </c>
      <c r="K66" s="5" t="s">
        <v>29</v>
      </c>
      <c r="L66" s="5" t="s">
        <v>141</v>
      </c>
      <c r="M66" s="17" t="s">
        <v>368</v>
      </c>
      <c r="N66" s="5" t="s">
        <v>143</v>
      </c>
      <c r="O66" s="5"/>
      <c r="P66" s="39" t="s">
        <v>369</v>
      </c>
      <c r="Q66" s="12"/>
      <c r="R66" s="5"/>
      <c r="S66" s="5"/>
      <c r="T66" s="5" t="s">
        <v>39</v>
      </c>
      <c r="U66" s="8">
        <v>36900</v>
      </c>
      <c r="V66" s="5"/>
      <c r="W66" s="5"/>
      <c r="X66" s="5"/>
      <c r="Y66" s="5" t="s">
        <v>41</v>
      </c>
    </row>
    <row r="67" spans="1:25" ht="19.5" customHeight="1">
      <c r="A67" s="13" t="s">
        <v>370</v>
      </c>
      <c r="B67" s="5" t="s">
        <v>26</v>
      </c>
      <c r="C67" s="5" t="s">
        <v>27</v>
      </c>
      <c r="D67" s="6" t="s">
        <v>371</v>
      </c>
      <c r="E67" s="7" t="s">
        <v>146</v>
      </c>
      <c r="F67" s="5"/>
      <c r="G67" s="5"/>
      <c r="H67" s="5">
        <v>1</v>
      </c>
      <c r="I67" s="8">
        <v>45931</v>
      </c>
      <c r="J67" s="8">
        <v>47391</v>
      </c>
      <c r="K67" s="5" t="s">
        <v>29</v>
      </c>
      <c r="L67" s="5" t="s">
        <v>30</v>
      </c>
      <c r="M67" s="34" t="s">
        <v>372</v>
      </c>
      <c r="N67" s="5" t="s">
        <v>45</v>
      </c>
      <c r="O67" s="5"/>
      <c r="P67" s="11"/>
      <c r="Q67" s="12"/>
      <c r="R67" s="5"/>
      <c r="S67" s="5"/>
      <c r="T67" s="5"/>
      <c r="U67" s="5"/>
      <c r="V67" s="5"/>
      <c r="W67" s="5"/>
      <c r="X67" s="5"/>
      <c r="Y67" s="5"/>
    </row>
    <row r="68" spans="1:25" ht="19.5" customHeight="1">
      <c r="A68" s="5" t="s">
        <v>373</v>
      </c>
      <c r="B68" s="5" t="s">
        <v>26</v>
      </c>
      <c r="C68" s="5" t="s">
        <v>27</v>
      </c>
      <c r="D68" s="5">
        <v>121</v>
      </c>
      <c r="E68" s="30" t="s">
        <v>77</v>
      </c>
      <c r="F68" s="5"/>
      <c r="G68" s="37" t="s">
        <v>302</v>
      </c>
      <c r="H68" s="5">
        <v>4</v>
      </c>
      <c r="I68" s="8">
        <v>44835</v>
      </c>
      <c r="J68" s="8">
        <v>46295</v>
      </c>
      <c r="K68" s="5" t="s">
        <v>29</v>
      </c>
      <c r="L68" s="5" t="s">
        <v>50</v>
      </c>
      <c r="M68" s="20" t="s">
        <v>374</v>
      </c>
      <c r="N68" s="21" t="s">
        <v>52</v>
      </c>
      <c r="O68" s="5" t="s">
        <v>64</v>
      </c>
      <c r="P68" s="40" t="s">
        <v>375</v>
      </c>
      <c r="Q68" s="12"/>
      <c r="R68" s="5"/>
      <c r="S68" s="5"/>
      <c r="T68" s="5" t="s">
        <v>39</v>
      </c>
      <c r="U68" s="16">
        <v>31060</v>
      </c>
      <c r="V68" s="50" t="s">
        <v>376</v>
      </c>
      <c r="W68" s="5" t="s">
        <v>40</v>
      </c>
      <c r="X68" s="6">
        <v>2020</v>
      </c>
      <c r="Y68" s="5" t="s">
        <v>94</v>
      </c>
    </row>
    <row r="69" spans="1:25" ht="19.5" customHeight="1">
      <c r="A69" s="13" t="s">
        <v>377</v>
      </c>
      <c r="B69" s="5" t="s">
        <v>26</v>
      </c>
      <c r="C69" s="5" t="s">
        <v>27</v>
      </c>
      <c r="D69" s="5">
        <v>175</v>
      </c>
      <c r="E69" s="7" t="s">
        <v>146</v>
      </c>
      <c r="F69" s="5" t="s">
        <v>378</v>
      </c>
      <c r="G69" s="17" t="s">
        <v>379</v>
      </c>
      <c r="H69" s="5">
        <v>3</v>
      </c>
      <c r="I69" s="8">
        <v>45047</v>
      </c>
      <c r="J69" s="8">
        <v>46507</v>
      </c>
      <c r="K69" s="5" t="s">
        <v>29</v>
      </c>
      <c r="L69" s="5" t="s">
        <v>35</v>
      </c>
      <c r="M69" s="20" t="s">
        <v>380</v>
      </c>
      <c r="N69" s="12" t="s">
        <v>381</v>
      </c>
      <c r="O69" s="5"/>
      <c r="P69" s="46" t="s">
        <v>382</v>
      </c>
      <c r="Q69" s="12"/>
      <c r="R69" s="5"/>
      <c r="S69" s="5"/>
      <c r="T69" s="5" t="s">
        <v>39</v>
      </c>
      <c r="U69" s="16">
        <v>25444</v>
      </c>
      <c r="V69" s="5">
        <f>380999060029</f>
        <v>380999060029</v>
      </c>
      <c r="W69" s="5" t="s">
        <v>383</v>
      </c>
      <c r="X69" s="6">
        <v>1992</v>
      </c>
      <c r="Y69" s="5"/>
    </row>
    <row r="70" spans="1:25" ht="19.5" customHeight="1">
      <c r="A70" s="13" t="s">
        <v>384</v>
      </c>
      <c r="B70" s="5" t="s">
        <v>26</v>
      </c>
      <c r="C70" s="5" t="s">
        <v>27</v>
      </c>
      <c r="D70" s="6" t="s">
        <v>385</v>
      </c>
      <c r="E70" s="7" t="s">
        <v>90</v>
      </c>
      <c r="F70" s="5"/>
      <c r="G70" s="5"/>
      <c r="H70" s="5">
        <v>1</v>
      </c>
      <c r="I70" s="8">
        <v>45931</v>
      </c>
      <c r="J70" s="8">
        <v>47391</v>
      </c>
      <c r="K70" s="5" t="s">
        <v>29</v>
      </c>
      <c r="L70" s="5" t="s">
        <v>30</v>
      </c>
      <c r="M70" s="10" t="s">
        <v>386</v>
      </c>
      <c r="N70" s="5" t="s">
        <v>45</v>
      </c>
      <c r="O70" s="5"/>
      <c r="P70" s="11"/>
      <c r="Q70" s="12"/>
      <c r="R70" s="5"/>
      <c r="S70" s="5"/>
      <c r="T70" s="5"/>
      <c r="U70" s="5"/>
      <c r="V70" s="5"/>
      <c r="W70" s="5"/>
      <c r="X70" s="5"/>
      <c r="Y70" s="5"/>
    </row>
    <row r="71" spans="1:25" ht="19.5" customHeight="1">
      <c r="A71" s="13" t="s">
        <v>387</v>
      </c>
      <c r="B71" s="5" t="s">
        <v>26</v>
      </c>
      <c r="C71" s="5" t="s">
        <v>27</v>
      </c>
      <c r="D71" s="6" t="s">
        <v>388</v>
      </c>
      <c r="E71" s="7" t="s">
        <v>203</v>
      </c>
      <c r="F71" s="5"/>
      <c r="G71" s="5"/>
      <c r="H71" s="5">
        <v>1</v>
      </c>
      <c r="I71" s="8">
        <v>45931</v>
      </c>
      <c r="J71" s="8">
        <v>47391</v>
      </c>
      <c r="K71" s="5" t="s">
        <v>29</v>
      </c>
      <c r="L71" s="5" t="s">
        <v>30</v>
      </c>
      <c r="M71" s="34" t="s">
        <v>389</v>
      </c>
      <c r="N71" s="5" t="s">
        <v>45</v>
      </c>
      <c r="O71" s="5"/>
      <c r="P71" s="11"/>
      <c r="Q71" s="12"/>
      <c r="R71" s="5"/>
      <c r="S71" s="5"/>
      <c r="T71" s="5"/>
      <c r="U71" s="5"/>
      <c r="V71" s="5"/>
      <c r="W71" s="5"/>
      <c r="X71" s="5"/>
      <c r="Y71" s="5" t="s">
        <v>41</v>
      </c>
    </row>
    <row r="72" spans="1:25" ht="19.5" customHeight="1">
      <c r="A72" s="13" t="s">
        <v>390</v>
      </c>
      <c r="B72" s="5" t="s">
        <v>26</v>
      </c>
      <c r="C72" s="5" t="s">
        <v>27</v>
      </c>
      <c r="D72" s="6" t="s">
        <v>43</v>
      </c>
      <c r="E72" s="7"/>
      <c r="F72" s="5"/>
      <c r="G72" s="5"/>
      <c r="H72" s="5">
        <v>1</v>
      </c>
      <c r="I72" s="8">
        <v>45931</v>
      </c>
      <c r="J72" s="8">
        <v>47391</v>
      </c>
      <c r="K72" s="5" t="s">
        <v>29</v>
      </c>
      <c r="L72" s="5" t="s">
        <v>30</v>
      </c>
      <c r="M72" s="10" t="s">
        <v>391</v>
      </c>
      <c r="N72" s="5" t="s">
        <v>45</v>
      </c>
      <c r="O72" s="5"/>
      <c r="P72" s="11"/>
      <c r="Q72" s="12"/>
      <c r="R72" s="5"/>
      <c r="S72" s="5"/>
      <c r="T72" s="5"/>
      <c r="U72" s="5"/>
      <c r="V72" s="5"/>
      <c r="W72" s="5"/>
      <c r="X72" s="5"/>
      <c r="Y72" s="5"/>
    </row>
    <row r="73" spans="1:25" ht="19.5" customHeight="1">
      <c r="A73" s="13" t="s">
        <v>392</v>
      </c>
      <c r="B73" s="5" t="s">
        <v>26</v>
      </c>
      <c r="C73" s="5" t="s">
        <v>27</v>
      </c>
      <c r="D73" s="5">
        <v>113</v>
      </c>
      <c r="E73" s="7" t="s">
        <v>203</v>
      </c>
      <c r="F73" s="5"/>
      <c r="G73" s="5" t="s">
        <v>393</v>
      </c>
      <c r="H73" s="5">
        <v>3</v>
      </c>
      <c r="I73" s="8">
        <v>45047</v>
      </c>
      <c r="J73" s="8">
        <v>46507</v>
      </c>
      <c r="K73" s="5" t="s">
        <v>29</v>
      </c>
      <c r="L73" s="5" t="s">
        <v>35</v>
      </c>
      <c r="M73" s="53" t="s">
        <v>394</v>
      </c>
      <c r="N73" s="12" t="s">
        <v>37</v>
      </c>
      <c r="O73" s="5"/>
      <c r="P73" s="43" t="s">
        <v>395</v>
      </c>
      <c r="Q73" s="12"/>
      <c r="R73" s="5"/>
      <c r="S73" s="5" t="s">
        <v>396</v>
      </c>
      <c r="T73" s="5" t="s">
        <v>39</v>
      </c>
      <c r="U73" s="16">
        <v>36636</v>
      </c>
      <c r="V73" s="5">
        <f>380977801274</f>
        <v>380977801274</v>
      </c>
      <c r="W73" s="5" t="s">
        <v>40</v>
      </c>
      <c r="X73" s="6">
        <v>2022</v>
      </c>
      <c r="Y73" s="5" t="s">
        <v>41</v>
      </c>
    </row>
    <row r="74" spans="1:25" ht="19.5" customHeight="1">
      <c r="A74" s="5" t="s">
        <v>397</v>
      </c>
      <c r="B74" s="5" t="s">
        <v>26</v>
      </c>
      <c r="C74" s="5" t="s">
        <v>27</v>
      </c>
      <c r="D74" s="5">
        <v>123</v>
      </c>
      <c r="E74" s="7" t="s">
        <v>249</v>
      </c>
      <c r="F74" s="5" t="s">
        <v>250</v>
      </c>
      <c r="G74" s="5" t="s">
        <v>398</v>
      </c>
      <c r="H74" s="5">
        <v>2</v>
      </c>
      <c r="I74" s="8">
        <v>45566</v>
      </c>
      <c r="J74" s="9">
        <v>47026</v>
      </c>
      <c r="K74" s="5" t="s">
        <v>29</v>
      </c>
      <c r="L74" s="5" t="s">
        <v>141</v>
      </c>
      <c r="M74" s="5" t="s">
        <v>399</v>
      </c>
      <c r="N74" s="5" t="s">
        <v>143</v>
      </c>
      <c r="O74" s="5"/>
      <c r="P74" s="39" t="s">
        <v>400</v>
      </c>
      <c r="Q74" s="12"/>
      <c r="R74" s="5"/>
      <c r="S74" s="5"/>
      <c r="T74" s="5" t="s">
        <v>39</v>
      </c>
      <c r="U74" s="8">
        <v>35895</v>
      </c>
      <c r="V74" s="5"/>
      <c r="W74" s="5"/>
      <c r="X74" s="5"/>
      <c r="Y74" s="5" t="s">
        <v>299</v>
      </c>
    </row>
    <row r="75" spans="1:25" ht="19.5" customHeight="1">
      <c r="A75" s="13" t="s">
        <v>401</v>
      </c>
      <c r="B75" s="5" t="s">
        <v>26</v>
      </c>
      <c r="C75" s="5" t="s">
        <v>27</v>
      </c>
      <c r="D75" s="5">
        <v>171</v>
      </c>
      <c r="E75" s="7" t="s">
        <v>115</v>
      </c>
      <c r="F75" s="5"/>
      <c r="G75" s="5" t="s">
        <v>317</v>
      </c>
      <c r="H75" s="5">
        <v>3</v>
      </c>
      <c r="I75" s="8">
        <v>45047</v>
      </c>
      <c r="J75" s="8">
        <v>46507</v>
      </c>
      <c r="K75" s="5" t="s">
        <v>29</v>
      </c>
      <c r="L75" s="5" t="s">
        <v>35</v>
      </c>
      <c r="M75" s="15" t="s">
        <v>402</v>
      </c>
      <c r="N75" s="12" t="s">
        <v>37</v>
      </c>
      <c r="O75" s="5"/>
      <c r="P75" s="46" t="s">
        <v>403</v>
      </c>
      <c r="Q75" s="12"/>
      <c r="R75" s="5"/>
      <c r="S75" s="5"/>
      <c r="T75" s="5" t="s">
        <v>39</v>
      </c>
      <c r="U75" s="16">
        <v>30753</v>
      </c>
      <c r="V75" s="5">
        <v>508437046</v>
      </c>
      <c r="W75" s="5" t="s">
        <v>40</v>
      </c>
      <c r="X75" s="6">
        <v>2006</v>
      </c>
      <c r="Y75" s="5" t="s">
        <v>160</v>
      </c>
    </row>
    <row r="76" spans="1:25" ht="19.5" customHeight="1">
      <c r="A76" s="5" t="s">
        <v>404</v>
      </c>
      <c r="B76" s="5" t="s">
        <v>26</v>
      </c>
      <c r="C76" s="5" t="s">
        <v>27</v>
      </c>
      <c r="D76" s="5">
        <v>126</v>
      </c>
      <c r="E76" s="7" t="s">
        <v>80</v>
      </c>
      <c r="F76" s="5" t="s">
        <v>81</v>
      </c>
      <c r="G76" s="5" t="s">
        <v>405</v>
      </c>
      <c r="H76" s="5">
        <v>2</v>
      </c>
      <c r="I76" s="8">
        <v>45566</v>
      </c>
      <c r="J76" s="9">
        <v>47026</v>
      </c>
      <c r="K76" s="5" t="s">
        <v>29</v>
      </c>
      <c r="L76" s="5" t="s">
        <v>141</v>
      </c>
      <c r="M76" s="5" t="s">
        <v>406</v>
      </c>
      <c r="N76" s="5" t="s">
        <v>143</v>
      </c>
      <c r="O76" s="5"/>
      <c r="P76" s="39" t="s">
        <v>407</v>
      </c>
      <c r="Q76" s="12"/>
      <c r="R76" s="5"/>
      <c r="S76" s="5"/>
      <c r="T76" s="5" t="s">
        <v>39</v>
      </c>
      <c r="U76" s="8">
        <v>33718</v>
      </c>
      <c r="V76" s="5"/>
      <c r="W76" s="5"/>
      <c r="X76" s="5"/>
      <c r="Y76" s="5" t="s">
        <v>88</v>
      </c>
    </row>
    <row r="77" spans="1:25" ht="19.5" customHeight="1">
      <c r="A77" s="13" t="s">
        <v>408</v>
      </c>
      <c r="B77" s="5" t="s">
        <v>26</v>
      </c>
      <c r="C77" s="5" t="s">
        <v>27</v>
      </c>
      <c r="D77" s="6" t="s">
        <v>409</v>
      </c>
      <c r="E77" s="7" t="s">
        <v>203</v>
      </c>
      <c r="F77" s="5"/>
      <c r="G77" s="5"/>
      <c r="H77" s="5">
        <v>1</v>
      </c>
      <c r="I77" s="8">
        <v>45931</v>
      </c>
      <c r="J77" s="8">
        <v>47391</v>
      </c>
      <c r="K77" s="5" t="s">
        <v>29</v>
      </c>
      <c r="L77" s="5" t="s">
        <v>30</v>
      </c>
      <c r="M77" s="17" t="s">
        <v>410</v>
      </c>
      <c r="N77" s="5" t="s">
        <v>45</v>
      </c>
      <c r="O77" s="5"/>
      <c r="P77" s="54"/>
      <c r="Q77" s="12"/>
      <c r="R77" s="5"/>
      <c r="S77" s="5"/>
      <c r="T77" s="5"/>
      <c r="U77" s="5"/>
      <c r="V77" s="5"/>
      <c r="W77" s="5"/>
      <c r="X77" s="5"/>
      <c r="Y77" s="5" t="s">
        <v>41</v>
      </c>
    </row>
    <row r="78" spans="1:25" ht="19.5" customHeight="1">
      <c r="A78" s="5" t="s">
        <v>411</v>
      </c>
      <c r="B78" s="5" t="s">
        <v>26</v>
      </c>
      <c r="C78" s="5" t="s">
        <v>27</v>
      </c>
      <c r="D78" s="5">
        <v>51</v>
      </c>
      <c r="E78" s="30" t="s">
        <v>192</v>
      </c>
      <c r="F78" s="5" t="s">
        <v>193</v>
      </c>
      <c r="G78" s="5" t="s">
        <v>412</v>
      </c>
      <c r="H78" s="5">
        <v>4</v>
      </c>
      <c r="I78" s="8">
        <v>44835</v>
      </c>
      <c r="J78" s="8">
        <v>46295</v>
      </c>
      <c r="K78" s="5" t="s">
        <v>29</v>
      </c>
      <c r="L78" s="5" t="s">
        <v>50</v>
      </c>
      <c r="M78" s="40" t="s">
        <v>413</v>
      </c>
      <c r="N78" s="21" t="s">
        <v>52</v>
      </c>
      <c r="O78" s="5" t="s">
        <v>64</v>
      </c>
      <c r="P78" s="55" t="s">
        <v>414</v>
      </c>
      <c r="Q78" s="12"/>
      <c r="R78" s="5"/>
      <c r="S78" s="5"/>
      <c r="T78" s="5" t="s">
        <v>39</v>
      </c>
      <c r="U78" s="16">
        <v>27327</v>
      </c>
      <c r="V78" s="5" t="s">
        <v>415</v>
      </c>
      <c r="W78" s="5" t="s">
        <v>416</v>
      </c>
      <c r="X78" s="6">
        <v>1999</v>
      </c>
      <c r="Y78" s="5" t="s">
        <v>41</v>
      </c>
    </row>
    <row r="79" spans="1:25" ht="19.5" customHeight="1">
      <c r="A79" s="5" t="s">
        <v>417</v>
      </c>
      <c r="B79" s="5" t="s">
        <v>47</v>
      </c>
      <c r="C79" s="5" t="s">
        <v>27</v>
      </c>
      <c r="D79" s="5">
        <v>151</v>
      </c>
      <c r="E79" s="7" t="s">
        <v>138</v>
      </c>
      <c r="F79" s="5" t="s">
        <v>139</v>
      </c>
      <c r="G79" s="5" t="s">
        <v>162</v>
      </c>
      <c r="H79" s="5"/>
      <c r="I79" s="48">
        <v>44470</v>
      </c>
      <c r="J79" s="48">
        <v>45839</v>
      </c>
      <c r="K79" s="5" t="s">
        <v>29</v>
      </c>
      <c r="L79" s="5" t="s">
        <v>418</v>
      </c>
      <c r="M79" s="40" t="s">
        <v>419</v>
      </c>
      <c r="N79" s="12" t="s">
        <v>270</v>
      </c>
      <c r="O79" s="5" t="s">
        <v>271</v>
      </c>
      <c r="P79" s="15" t="s">
        <v>420</v>
      </c>
      <c r="Q79" s="12" t="s">
        <v>421</v>
      </c>
      <c r="R79" s="5" t="s">
        <v>422</v>
      </c>
      <c r="S79" s="5" t="s">
        <v>423</v>
      </c>
      <c r="T79" s="5" t="s">
        <v>39</v>
      </c>
      <c r="U79" s="48">
        <v>31694</v>
      </c>
      <c r="V79" s="5" t="s">
        <v>424</v>
      </c>
      <c r="W79" s="5" t="s">
        <v>40</v>
      </c>
      <c r="X79" s="5">
        <v>2010</v>
      </c>
      <c r="Y79" s="5"/>
    </row>
    <row r="80" spans="1:25" ht="19.5" customHeight="1">
      <c r="A80" s="28" t="s">
        <v>425</v>
      </c>
      <c r="B80" s="5" t="s">
        <v>26</v>
      </c>
      <c r="C80" s="5" t="s">
        <v>27</v>
      </c>
      <c r="D80" s="29">
        <v>122</v>
      </c>
      <c r="E80" s="30" t="s">
        <v>322</v>
      </c>
      <c r="F80" s="5"/>
      <c r="G80" s="13" t="s">
        <v>426</v>
      </c>
      <c r="H80" s="5">
        <v>3</v>
      </c>
      <c r="I80" s="8">
        <v>45200</v>
      </c>
      <c r="J80" s="8">
        <v>46660</v>
      </c>
      <c r="K80" s="5" t="s">
        <v>29</v>
      </c>
      <c r="L80" s="5" t="s">
        <v>35</v>
      </c>
      <c r="M80" s="13" t="s">
        <v>427</v>
      </c>
      <c r="N80" s="5" t="s">
        <v>85</v>
      </c>
      <c r="O80" s="5"/>
      <c r="P80" s="17" t="s">
        <v>428</v>
      </c>
      <c r="Q80" s="12"/>
      <c r="R80" s="5"/>
      <c r="S80" s="5"/>
      <c r="T80" s="31" t="s">
        <v>39</v>
      </c>
      <c r="U80" s="33">
        <v>36232</v>
      </c>
      <c r="V80" s="5"/>
      <c r="W80" s="5"/>
      <c r="X80" s="5"/>
      <c r="Y80" s="5"/>
    </row>
    <row r="81" spans="1:25" ht="19.5" customHeight="1">
      <c r="A81" s="5" t="s">
        <v>429</v>
      </c>
      <c r="B81" s="5" t="s">
        <v>47</v>
      </c>
      <c r="C81" s="5" t="s">
        <v>27</v>
      </c>
      <c r="D81" s="5">
        <v>121</v>
      </c>
      <c r="E81" s="30" t="s">
        <v>77</v>
      </c>
      <c r="F81" s="5"/>
      <c r="G81" s="5" t="s">
        <v>430</v>
      </c>
      <c r="H81" s="5"/>
      <c r="I81" s="8">
        <v>44835</v>
      </c>
      <c r="J81" s="8">
        <v>45930</v>
      </c>
      <c r="K81" s="5" t="s">
        <v>29</v>
      </c>
      <c r="L81" s="5" t="s">
        <v>35</v>
      </c>
      <c r="M81" s="20" t="s">
        <v>431</v>
      </c>
      <c r="N81" s="21" t="s">
        <v>52</v>
      </c>
      <c r="O81" s="5" t="s">
        <v>64</v>
      </c>
      <c r="P81" s="40" t="s">
        <v>432</v>
      </c>
      <c r="Q81" s="12" t="s">
        <v>433</v>
      </c>
      <c r="R81" s="5" t="s">
        <v>434</v>
      </c>
      <c r="S81" s="5" t="s">
        <v>435</v>
      </c>
      <c r="T81" s="5" t="s">
        <v>39</v>
      </c>
      <c r="U81" s="16">
        <v>35133</v>
      </c>
      <c r="V81" s="5" t="s">
        <v>436</v>
      </c>
      <c r="W81" s="5" t="s">
        <v>40</v>
      </c>
      <c r="X81" s="6">
        <v>2019</v>
      </c>
      <c r="Y81" s="5"/>
    </row>
    <row r="82" spans="1:25" ht="19.5" customHeight="1">
      <c r="A82" s="13" t="s">
        <v>437</v>
      </c>
      <c r="B82" s="5" t="s">
        <v>26</v>
      </c>
      <c r="C82" s="5" t="s">
        <v>27</v>
      </c>
      <c r="D82" s="6" t="s">
        <v>385</v>
      </c>
      <c r="E82" s="7" t="s">
        <v>90</v>
      </c>
      <c r="F82" s="5"/>
      <c r="G82" s="5"/>
      <c r="H82" s="5">
        <v>1</v>
      </c>
      <c r="I82" s="8">
        <v>45931</v>
      </c>
      <c r="J82" s="8">
        <v>47391</v>
      </c>
      <c r="K82" s="5" t="s">
        <v>29</v>
      </c>
      <c r="L82" s="5" t="s">
        <v>30</v>
      </c>
      <c r="M82" s="10" t="s">
        <v>438</v>
      </c>
      <c r="N82" s="5" t="s">
        <v>45</v>
      </c>
      <c r="O82" s="5"/>
      <c r="P82" s="11"/>
      <c r="Q82" s="12"/>
      <c r="R82" s="5"/>
      <c r="S82" s="5"/>
      <c r="T82" s="5"/>
      <c r="U82" s="5"/>
      <c r="V82" s="5"/>
      <c r="W82" s="5"/>
      <c r="X82" s="5"/>
      <c r="Y82" s="5"/>
    </row>
    <row r="83" spans="1:25" ht="19.5" customHeight="1">
      <c r="A83" s="28" t="s">
        <v>439</v>
      </c>
      <c r="B83" s="5" t="s">
        <v>26</v>
      </c>
      <c r="C83" s="5" t="s">
        <v>27</v>
      </c>
      <c r="D83" s="29">
        <v>121</v>
      </c>
      <c r="E83" s="30" t="s">
        <v>77</v>
      </c>
      <c r="F83" s="5"/>
      <c r="G83" s="13" t="s">
        <v>440</v>
      </c>
      <c r="H83" s="5">
        <v>3</v>
      </c>
      <c r="I83" s="8">
        <v>45200</v>
      </c>
      <c r="J83" s="8">
        <v>46660</v>
      </c>
      <c r="K83" s="5" t="s">
        <v>29</v>
      </c>
      <c r="L83" s="5" t="s">
        <v>35</v>
      </c>
      <c r="M83" s="26" t="s">
        <v>441</v>
      </c>
      <c r="N83" s="5" t="s">
        <v>85</v>
      </c>
      <c r="O83" s="5"/>
      <c r="P83" s="17" t="s">
        <v>442</v>
      </c>
      <c r="Q83" s="12"/>
      <c r="R83" s="5"/>
      <c r="S83" s="5"/>
      <c r="T83" s="31" t="s">
        <v>39</v>
      </c>
      <c r="U83" s="33">
        <v>36672</v>
      </c>
      <c r="V83" s="5"/>
      <c r="W83" s="5"/>
      <c r="X83" s="5"/>
      <c r="Y83" s="5" t="s">
        <v>94</v>
      </c>
    </row>
    <row r="84" spans="1:25" ht="19.5" customHeight="1">
      <c r="A84" s="13" t="s">
        <v>443</v>
      </c>
      <c r="B84" s="5" t="s">
        <v>26</v>
      </c>
      <c r="C84" s="5" t="s">
        <v>27</v>
      </c>
      <c r="D84" s="5">
        <v>123</v>
      </c>
      <c r="E84" s="7" t="s">
        <v>108</v>
      </c>
      <c r="F84" s="5"/>
      <c r="G84" s="5" t="s">
        <v>444</v>
      </c>
      <c r="H84" s="5">
        <v>3</v>
      </c>
      <c r="I84" s="8">
        <v>45047</v>
      </c>
      <c r="J84" s="8">
        <v>46507</v>
      </c>
      <c r="K84" s="5" t="s">
        <v>29</v>
      </c>
      <c r="L84" s="5" t="s">
        <v>35</v>
      </c>
      <c r="M84" s="20" t="s">
        <v>445</v>
      </c>
      <c r="N84" s="12" t="s">
        <v>37</v>
      </c>
      <c r="O84" s="5"/>
      <c r="P84" s="56" t="s">
        <v>446</v>
      </c>
      <c r="Q84" s="12"/>
      <c r="R84" s="5"/>
      <c r="S84" s="5"/>
      <c r="T84" s="5" t="s">
        <v>39</v>
      </c>
      <c r="U84" s="16">
        <v>31865</v>
      </c>
      <c r="V84" s="5">
        <f>380686138963</f>
        <v>380686138963</v>
      </c>
      <c r="W84" s="5" t="s">
        <v>40</v>
      </c>
      <c r="X84" s="6">
        <v>2009</v>
      </c>
      <c r="Y84" s="5" t="s">
        <v>112</v>
      </c>
    </row>
    <row r="85" spans="1:25" ht="19.5" customHeight="1">
      <c r="A85" s="5" t="s">
        <v>447</v>
      </c>
      <c r="B85" s="5" t="s">
        <v>26</v>
      </c>
      <c r="C85" s="5" t="s">
        <v>27</v>
      </c>
      <c r="D85" s="5">
        <v>124</v>
      </c>
      <c r="E85" s="7" t="s">
        <v>203</v>
      </c>
      <c r="F85" s="5"/>
      <c r="G85" s="5" t="s">
        <v>448</v>
      </c>
      <c r="H85" s="5">
        <v>2</v>
      </c>
      <c r="I85" s="8">
        <v>45566</v>
      </c>
      <c r="J85" s="9">
        <v>47026</v>
      </c>
      <c r="K85" s="5" t="s">
        <v>29</v>
      </c>
      <c r="L85" s="5" t="s">
        <v>141</v>
      </c>
      <c r="M85" s="17" t="s">
        <v>449</v>
      </c>
      <c r="N85" s="5" t="s">
        <v>143</v>
      </c>
      <c r="O85" s="5"/>
      <c r="P85" s="57" t="s">
        <v>450</v>
      </c>
      <c r="Q85" s="12"/>
      <c r="R85" s="5"/>
      <c r="S85" s="5"/>
      <c r="T85" s="5" t="s">
        <v>39</v>
      </c>
      <c r="U85" s="8">
        <v>35640</v>
      </c>
      <c r="V85" s="5"/>
      <c r="W85" s="5"/>
      <c r="X85" s="5"/>
      <c r="Y85" s="5" t="s">
        <v>41</v>
      </c>
    </row>
    <row r="86" spans="1:25" ht="19.5" customHeight="1">
      <c r="A86" s="5" t="s">
        <v>451</v>
      </c>
      <c r="B86" s="5" t="s">
        <v>26</v>
      </c>
      <c r="C86" s="5" t="s">
        <v>27</v>
      </c>
      <c r="D86" s="5">
        <v>123</v>
      </c>
      <c r="E86" s="7" t="s">
        <v>249</v>
      </c>
      <c r="F86" s="5" t="s">
        <v>250</v>
      </c>
      <c r="G86" s="5" t="s">
        <v>452</v>
      </c>
      <c r="H86" s="5">
        <v>2</v>
      </c>
      <c r="I86" s="8">
        <v>45566</v>
      </c>
      <c r="J86" s="9">
        <v>47026</v>
      </c>
      <c r="K86" s="5" t="s">
        <v>29</v>
      </c>
      <c r="L86" s="5" t="s">
        <v>141</v>
      </c>
      <c r="M86" s="17" t="s">
        <v>453</v>
      </c>
      <c r="N86" s="5" t="s">
        <v>143</v>
      </c>
      <c r="O86" s="5"/>
      <c r="P86" s="39" t="s">
        <v>454</v>
      </c>
      <c r="Q86" s="12"/>
      <c r="R86" s="5"/>
      <c r="S86" s="5"/>
      <c r="T86" s="5" t="s">
        <v>39</v>
      </c>
      <c r="U86" s="8">
        <v>36375</v>
      </c>
      <c r="V86" s="5"/>
      <c r="W86" s="5"/>
      <c r="X86" s="5"/>
      <c r="Y86" s="5" t="s">
        <v>299</v>
      </c>
    </row>
    <row r="87" spans="1:25" ht="19.5" customHeight="1">
      <c r="A87" s="5" t="s">
        <v>455</v>
      </c>
      <c r="B87" s="5" t="s">
        <v>26</v>
      </c>
      <c r="C87" s="5" t="s">
        <v>27</v>
      </c>
      <c r="D87" s="5">
        <v>126</v>
      </c>
      <c r="E87" s="30" t="s">
        <v>80</v>
      </c>
      <c r="F87" s="5" t="s">
        <v>81</v>
      </c>
      <c r="G87" s="5" t="s">
        <v>456</v>
      </c>
      <c r="H87" s="5">
        <v>4</v>
      </c>
      <c r="I87" s="8">
        <v>44835</v>
      </c>
      <c r="J87" s="8">
        <v>46295</v>
      </c>
      <c r="K87" s="5" t="s">
        <v>29</v>
      </c>
      <c r="L87" s="5" t="s">
        <v>35</v>
      </c>
      <c r="M87" s="20" t="s">
        <v>457</v>
      </c>
      <c r="N87" s="21" t="s">
        <v>52</v>
      </c>
      <c r="O87" s="5" t="s">
        <v>64</v>
      </c>
      <c r="P87" s="40" t="s">
        <v>458</v>
      </c>
      <c r="Q87" s="12"/>
      <c r="R87" s="5"/>
      <c r="S87" s="5"/>
      <c r="T87" s="5" t="s">
        <v>39</v>
      </c>
      <c r="U87" s="16">
        <v>36640</v>
      </c>
      <c r="V87" s="5" t="s">
        <v>459</v>
      </c>
      <c r="W87" s="5" t="s">
        <v>40</v>
      </c>
      <c r="X87" s="6">
        <v>2022</v>
      </c>
      <c r="Y87" s="5" t="s">
        <v>88</v>
      </c>
    </row>
    <row r="88" spans="1:25" ht="19.5" customHeight="1">
      <c r="A88" s="5" t="s">
        <v>460</v>
      </c>
      <c r="B88" s="5" t="s">
        <v>26</v>
      </c>
      <c r="C88" s="5" t="s">
        <v>461</v>
      </c>
      <c r="D88" s="5">
        <v>172</v>
      </c>
      <c r="E88" s="7" t="s">
        <v>180</v>
      </c>
      <c r="F88" s="5"/>
      <c r="G88" s="17" t="s">
        <v>462</v>
      </c>
      <c r="H88" s="5">
        <v>4</v>
      </c>
      <c r="I88" s="8">
        <v>45809</v>
      </c>
      <c r="J88" s="9">
        <v>46081</v>
      </c>
      <c r="K88" s="5" t="s">
        <v>83</v>
      </c>
      <c r="L88" s="5" t="s">
        <v>35</v>
      </c>
      <c r="M88" s="17"/>
      <c r="N88" s="5" t="s">
        <v>463</v>
      </c>
      <c r="O88" s="5"/>
      <c r="P88" s="58"/>
      <c r="Q88" s="12"/>
      <c r="R88" s="5"/>
      <c r="S88" s="5"/>
      <c r="T88" s="5"/>
      <c r="U88" s="8">
        <v>34867</v>
      </c>
      <c r="V88" s="5"/>
      <c r="W88" s="5"/>
      <c r="X88" s="5"/>
      <c r="Y88" s="5"/>
    </row>
    <row r="89" spans="1:25" ht="19.5" customHeight="1">
      <c r="A89" s="5" t="s">
        <v>464</v>
      </c>
      <c r="B89" s="5" t="s">
        <v>26</v>
      </c>
      <c r="C89" s="5" t="s">
        <v>27</v>
      </c>
      <c r="D89" s="5">
        <v>124</v>
      </c>
      <c r="E89" s="7" t="s">
        <v>203</v>
      </c>
      <c r="F89" s="5"/>
      <c r="G89" s="5" t="s">
        <v>448</v>
      </c>
      <c r="H89" s="5">
        <v>2</v>
      </c>
      <c r="I89" s="8">
        <v>45566</v>
      </c>
      <c r="J89" s="9">
        <v>47026</v>
      </c>
      <c r="K89" s="5" t="s">
        <v>29</v>
      </c>
      <c r="L89" s="5" t="s">
        <v>141</v>
      </c>
      <c r="M89" s="17" t="s">
        <v>465</v>
      </c>
      <c r="N89" s="5" t="s">
        <v>143</v>
      </c>
      <c r="O89" s="5"/>
      <c r="P89" s="58" t="s">
        <v>466</v>
      </c>
      <c r="Q89" s="12"/>
      <c r="R89" s="5"/>
      <c r="S89" s="5"/>
      <c r="T89" s="5" t="s">
        <v>39</v>
      </c>
      <c r="U89" s="8">
        <v>31630</v>
      </c>
      <c r="V89" s="5"/>
      <c r="W89" s="5"/>
      <c r="X89" s="5"/>
      <c r="Y89" s="5" t="s">
        <v>41</v>
      </c>
    </row>
    <row r="90" spans="1:25" ht="19.5" customHeight="1">
      <c r="A90" s="5" t="s">
        <v>467</v>
      </c>
      <c r="B90" s="5" t="s">
        <v>26</v>
      </c>
      <c r="C90" s="5" t="s">
        <v>27</v>
      </c>
      <c r="D90" s="5">
        <v>163</v>
      </c>
      <c r="E90" s="7" t="s">
        <v>90</v>
      </c>
      <c r="F90" s="5"/>
      <c r="G90" s="5" t="s">
        <v>468</v>
      </c>
      <c r="H90" s="5">
        <v>2</v>
      </c>
      <c r="I90" s="8">
        <v>45566</v>
      </c>
      <c r="J90" s="9">
        <v>47026</v>
      </c>
      <c r="K90" s="5" t="s">
        <v>29</v>
      </c>
      <c r="L90" s="5" t="s">
        <v>141</v>
      </c>
      <c r="M90" s="59" t="s">
        <v>469</v>
      </c>
      <c r="N90" s="5" t="s">
        <v>143</v>
      </c>
      <c r="O90" s="5"/>
      <c r="P90" s="39" t="s">
        <v>470</v>
      </c>
      <c r="Q90" s="12"/>
      <c r="R90" s="5"/>
      <c r="S90" s="5"/>
      <c r="T90" s="5" t="s">
        <v>39</v>
      </c>
      <c r="U90" s="36">
        <v>36488</v>
      </c>
      <c r="V90" s="5"/>
      <c r="W90" s="5"/>
      <c r="X90" s="5"/>
      <c r="Y90" s="5" t="s">
        <v>94</v>
      </c>
    </row>
    <row r="91" spans="1:25" ht="19.5" customHeight="1">
      <c r="A91" s="5" t="s">
        <v>471</v>
      </c>
      <c r="B91" s="5" t="s">
        <v>26</v>
      </c>
      <c r="C91" s="5" t="s">
        <v>27</v>
      </c>
      <c r="D91" s="5">
        <v>122</v>
      </c>
      <c r="E91" s="30" t="s">
        <v>124</v>
      </c>
      <c r="F91" s="5" t="s">
        <v>125</v>
      </c>
      <c r="G91" s="5" t="s">
        <v>472</v>
      </c>
      <c r="H91" s="5">
        <v>4</v>
      </c>
      <c r="I91" s="8">
        <v>44835</v>
      </c>
      <c r="J91" s="8">
        <v>46295</v>
      </c>
      <c r="K91" s="5" t="s">
        <v>29</v>
      </c>
      <c r="L91" s="5" t="s">
        <v>35</v>
      </c>
      <c r="M91" s="60" t="s">
        <v>473</v>
      </c>
      <c r="N91" s="21" t="s">
        <v>52</v>
      </c>
      <c r="O91" s="5" t="s">
        <v>64</v>
      </c>
      <c r="P91" s="15" t="s">
        <v>474</v>
      </c>
      <c r="Q91" s="12"/>
      <c r="R91" s="5"/>
      <c r="S91" s="5"/>
      <c r="T91" s="5" t="s">
        <v>39</v>
      </c>
      <c r="U91" s="16">
        <v>33668</v>
      </c>
      <c r="V91" s="5" t="s">
        <v>475</v>
      </c>
      <c r="W91" s="5" t="s">
        <v>40</v>
      </c>
      <c r="X91" s="6">
        <v>2015</v>
      </c>
      <c r="Y91" s="5" t="s">
        <v>266</v>
      </c>
    </row>
    <row r="92" spans="1:25" ht="19.5" customHeight="1">
      <c r="A92" s="5" t="s">
        <v>476</v>
      </c>
      <c r="B92" s="5" t="s">
        <v>26</v>
      </c>
      <c r="C92" s="5" t="s">
        <v>27</v>
      </c>
      <c r="D92" s="5">
        <v>125</v>
      </c>
      <c r="E92" s="7" t="s">
        <v>104</v>
      </c>
      <c r="F92" s="5" t="s">
        <v>477</v>
      </c>
      <c r="G92" s="5" t="s">
        <v>478</v>
      </c>
      <c r="H92" s="5">
        <v>2</v>
      </c>
      <c r="I92" s="8">
        <v>45566</v>
      </c>
      <c r="J92" s="9">
        <v>47026</v>
      </c>
      <c r="K92" s="5" t="s">
        <v>29</v>
      </c>
      <c r="L92" s="5" t="s">
        <v>141</v>
      </c>
      <c r="M92" s="17" t="s">
        <v>479</v>
      </c>
      <c r="N92" s="5" t="s">
        <v>143</v>
      </c>
      <c r="O92" s="5"/>
      <c r="P92" s="39" t="s">
        <v>480</v>
      </c>
      <c r="Q92" s="12"/>
      <c r="R92" s="5"/>
      <c r="S92" s="5"/>
      <c r="T92" s="5" t="s">
        <v>39</v>
      </c>
      <c r="U92" s="8">
        <v>37010</v>
      </c>
      <c r="V92" s="5"/>
      <c r="W92" s="5"/>
      <c r="X92" s="5"/>
      <c r="Y92" s="5" t="s">
        <v>106</v>
      </c>
    </row>
    <row r="93" spans="1:25" ht="19.5" customHeight="1">
      <c r="A93" s="61" t="s">
        <v>481</v>
      </c>
      <c r="B93" s="5" t="s">
        <v>47</v>
      </c>
      <c r="C93" s="5" t="s">
        <v>27</v>
      </c>
      <c r="D93" s="5">
        <v>125</v>
      </c>
      <c r="E93" s="7" t="s">
        <v>104</v>
      </c>
      <c r="F93" s="5" t="s">
        <v>477</v>
      </c>
      <c r="G93" s="5" t="s">
        <v>482</v>
      </c>
      <c r="H93" s="5"/>
      <c r="I93" s="8">
        <v>43525</v>
      </c>
      <c r="J93" s="8">
        <v>45716</v>
      </c>
      <c r="K93" s="5" t="s">
        <v>83</v>
      </c>
      <c r="L93" s="5" t="s">
        <v>35</v>
      </c>
      <c r="M93" s="26" t="s">
        <v>483</v>
      </c>
      <c r="N93" s="5" t="s">
        <v>484</v>
      </c>
      <c r="O93" s="5"/>
      <c r="P93" s="15"/>
      <c r="Q93" s="12" t="s">
        <v>485</v>
      </c>
      <c r="R93" s="5"/>
      <c r="S93" s="5" t="s">
        <v>486</v>
      </c>
      <c r="T93" s="5" t="s">
        <v>39</v>
      </c>
      <c r="U93" s="36">
        <v>35055</v>
      </c>
      <c r="V93" s="5"/>
      <c r="W93" s="5"/>
      <c r="X93" s="5"/>
      <c r="Y93" s="5"/>
    </row>
    <row r="94" spans="1:25" ht="19.5" customHeight="1">
      <c r="A94" s="5" t="s">
        <v>487</v>
      </c>
      <c r="B94" s="5" t="s">
        <v>47</v>
      </c>
      <c r="C94" s="5" t="s">
        <v>118</v>
      </c>
      <c r="D94" s="5">
        <v>171</v>
      </c>
      <c r="E94" s="7" t="s">
        <v>115</v>
      </c>
      <c r="F94" s="5"/>
      <c r="G94" s="5" t="s">
        <v>488</v>
      </c>
      <c r="H94" s="5"/>
      <c r="I94" s="8">
        <v>45566</v>
      </c>
      <c r="J94" s="9">
        <v>45923</v>
      </c>
      <c r="K94" s="5" t="s">
        <v>120</v>
      </c>
      <c r="L94" s="5" t="s">
        <v>35</v>
      </c>
      <c r="M94" s="5" t="s">
        <v>489</v>
      </c>
      <c r="N94" s="5" t="s">
        <v>211</v>
      </c>
      <c r="O94" s="5"/>
      <c r="P94" s="44" t="s">
        <v>490</v>
      </c>
      <c r="Q94" s="12" t="s">
        <v>491</v>
      </c>
      <c r="R94" s="5" t="s">
        <v>492</v>
      </c>
      <c r="S94" s="5"/>
      <c r="T94" s="5" t="s">
        <v>57</v>
      </c>
      <c r="U94" s="36">
        <v>35383</v>
      </c>
      <c r="V94" s="5"/>
      <c r="W94" s="5"/>
      <c r="X94" s="5"/>
      <c r="Y94" s="5"/>
    </row>
    <row r="95" spans="1:25" ht="19.5" customHeight="1">
      <c r="A95" s="28" t="s">
        <v>493</v>
      </c>
      <c r="B95" s="5" t="s">
        <v>26</v>
      </c>
      <c r="C95" s="5" t="s">
        <v>27</v>
      </c>
      <c r="D95" s="29">
        <v>172</v>
      </c>
      <c r="E95" s="30" t="s">
        <v>278</v>
      </c>
      <c r="F95" s="5"/>
      <c r="G95" s="13" t="s">
        <v>494</v>
      </c>
      <c r="H95" s="5">
        <v>3</v>
      </c>
      <c r="I95" s="8">
        <v>45200</v>
      </c>
      <c r="J95" s="8">
        <v>46660</v>
      </c>
      <c r="K95" s="5" t="s">
        <v>29</v>
      </c>
      <c r="L95" s="5" t="s">
        <v>35</v>
      </c>
      <c r="M95" s="26" t="s">
        <v>495</v>
      </c>
      <c r="N95" s="5" t="s">
        <v>85</v>
      </c>
      <c r="O95" s="5"/>
      <c r="P95" s="17" t="s">
        <v>496</v>
      </c>
      <c r="Q95" s="12"/>
      <c r="R95" s="5"/>
      <c r="S95" s="5"/>
      <c r="T95" s="31" t="s">
        <v>39</v>
      </c>
      <c r="U95" s="33">
        <v>34526</v>
      </c>
      <c r="V95" s="5"/>
      <c r="W95" s="5"/>
      <c r="X95" s="5"/>
      <c r="Y95" s="5" t="s">
        <v>266</v>
      </c>
    </row>
    <row r="96" spans="1:25" ht="19.5" customHeight="1">
      <c r="A96" s="5" t="s">
        <v>497</v>
      </c>
      <c r="B96" s="5" t="s">
        <v>68</v>
      </c>
      <c r="C96" s="5" t="s">
        <v>498</v>
      </c>
      <c r="D96" s="5">
        <v>113</v>
      </c>
      <c r="E96" s="7" t="s">
        <v>203</v>
      </c>
      <c r="F96" s="5"/>
      <c r="G96" s="5" t="s">
        <v>499</v>
      </c>
      <c r="H96" s="5">
        <v>3</v>
      </c>
      <c r="I96" s="48">
        <v>44470</v>
      </c>
      <c r="J96" s="48">
        <v>46295</v>
      </c>
      <c r="K96" s="5" t="s">
        <v>29</v>
      </c>
      <c r="L96" s="5" t="s">
        <v>418</v>
      </c>
      <c r="M96" s="40" t="s">
        <v>500</v>
      </c>
      <c r="N96" s="12" t="s">
        <v>270</v>
      </c>
      <c r="O96" s="5" t="s">
        <v>271</v>
      </c>
      <c r="P96" s="11" t="s">
        <v>501</v>
      </c>
      <c r="Q96" s="12"/>
      <c r="R96" s="5"/>
      <c r="S96" s="5" t="s">
        <v>502</v>
      </c>
      <c r="T96" s="5" t="s">
        <v>39</v>
      </c>
      <c r="U96" s="48">
        <v>32885</v>
      </c>
      <c r="V96" s="50" t="s">
        <v>503</v>
      </c>
      <c r="W96" s="5" t="s">
        <v>504</v>
      </c>
      <c r="X96" s="5">
        <v>2012</v>
      </c>
      <c r="Y96" s="5"/>
    </row>
    <row r="97" spans="1:25" ht="19.5" customHeight="1">
      <c r="A97" s="5" t="s">
        <v>505</v>
      </c>
      <c r="B97" s="5" t="s">
        <v>506</v>
      </c>
      <c r="C97" s="5" t="s">
        <v>507</v>
      </c>
      <c r="D97" s="5">
        <v>125</v>
      </c>
      <c r="E97" s="7" t="s">
        <v>104</v>
      </c>
      <c r="F97" s="5"/>
      <c r="G97" s="5" t="s">
        <v>478</v>
      </c>
      <c r="H97" s="5"/>
      <c r="I97" s="48">
        <v>44470</v>
      </c>
      <c r="J97" s="48">
        <v>45930</v>
      </c>
      <c r="K97" s="5" t="s">
        <v>508</v>
      </c>
      <c r="L97" s="5" t="s">
        <v>30</v>
      </c>
      <c r="M97" s="62" t="s">
        <v>509</v>
      </c>
      <c r="N97" s="12" t="s">
        <v>270</v>
      </c>
      <c r="O97" s="5" t="s">
        <v>271</v>
      </c>
      <c r="P97" s="11" t="s">
        <v>510</v>
      </c>
      <c r="Q97" s="12"/>
      <c r="R97" s="5"/>
      <c r="S97" s="5" t="s">
        <v>511</v>
      </c>
      <c r="T97" s="5" t="s">
        <v>39</v>
      </c>
      <c r="U97" s="48">
        <v>35648</v>
      </c>
      <c r="V97" s="5" t="s">
        <v>512</v>
      </c>
      <c r="W97" s="5" t="s">
        <v>40</v>
      </c>
      <c r="X97" s="5">
        <v>2020</v>
      </c>
      <c r="Y97" s="5"/>
    </row>
    <row r="98" spans="1:25" ht="19.5" customHeight="1">
      <c r="A98" s="5" t="s">
        <v>513</v>
      </c>
      <c r="B98" s="5" t="s">
        <v>26</v>
      </c>
      <c r="C98" s="5" t="s">
        <v>27</v>
      </c>
      <c r="D98" s="5">
        <v>105</v>
      </c>
      <c r="E98" s="7" t="s">
        <v>216</v>
      </c>
      <c r="F98" s="5"/>
      <c r="G98" s="5" t="s">
        <v>217</v>
      </c>
      <c r="H98" s="5">
        <v>2</v>
      </c>
      <c r="I98" s="8">
        <v>45566</v>
      </c>
      <c r="J98" s="9">
        <v>47026</v>
      </c>
      <c r="K98" s="5" t="s">
        <v>83</v>
      </c>
      <c r="L98" s="5" t="s">
        <v>35</v>
      </c>
      <c r="M98" s="17" t="s">
        <v>514</v>
      </c>
      <c r="N98" s="5" t="s">
        <v>143</v>
      </c>
      <c r="O98" s="5"/>
      <c r="P98" s="39" t="s">
        <v>515</v>
      </c>
      <c r="Q98" s="12"/>
      <c r="R98" s="5"/>
      <c r="S98" s="5"/>
      <c r="T98" s="5" t="s">
        <v>39</v>
      </c>
      <c r="U98" s="8">
        <v>34851</v>
      </c>
      <c r="V98" s="5"/>
      <c r="W98" s="5"/>
      <c r="X98" s="5"/>
      <c r="Y98" s="5" t="s">
        <v>220</v>
      </c>
    </row>
    <row r="99" spans="1:25" ht="19.5" customHeight="1">
      <c r="A99" s="5" t="s">
        <v>516</v>
      </c>
      <c r="B99" s="5" t="s">
        <v>26</v>
      </c>
      <c r="C99" s="5" t="s">
        <v>27</v>
      </c>
      <c r="D99" s="5">
        <v>51</v>
      </c>
      <c r="E99" s="7" t="s">
        <v>192</v>
      </c>
      <c r="F99" s="5" t="s">
        <v>193</v>
      </c>
      <c r="G99" s="5" t="s">
        <v>517</v>
      </c>
      <c r="H99" s="5">
        <v>2</v>
      </c>
      <c r="I99" s="8">
        <v>45566</v>
      </c>
      <c r="J99" s="9">
        <v>47026</v>
      </c>
      <c r="K99" s="5" t="s">
        <v>29</v>
      </c>
      <c r="L99" s="5" t="s">
        <v>141</v>
      </c>
      <c r="M99" s="5" t="s">
        <v>518</v>
      </c>
      <c r="N99" s="5" t="s">
        <v>143</v>
      </c>
      <c r="O99" s="5"/>
      <c r="P99" s="39" t="s">
        <v>519</v>
      </c>
      <c r="Q99" s="12"/>
      <c r="R99" s="5"/>
      <c r="S99" s="5"/>
      <c r="T99" s="5" t="s">
        <v>39</v>
      </c>
      <c r="U99" s="36">
        <v>34693</v>
      </c>
      <c r="V99" s="5"/>
      <c r="W99" s="5"/>
      <c r="X99" s="5"/>
      <c r="Y99" s="5" t="s">
        <v>41</v>
      </c>
    </row>
    <row r="100" spans="1:25" ht="19.5" customHeight="1">
      <c r="A100" s="28" t="s">
        <v>520</v>
      </c>
      <c r="B100" s="5" t="s">
        <v>26</v>
      </c>
      <c r="C100" s="5" t="s">
        <v>27</v>
      </c>
      <c r="D100" s="29">
        <v>121</v>
      </c>
      <c r="E100" s="30" t="s">
        <v>77</v>
      </c>
      <c r="F100" s="5"/>
      <c r="G100" s="13" t="s">
        <v>521</v>
      </c>
      <c r="H100" s="5">
        <v>3</v>
      </c>
      <c r="I100" s="8">
        <v>45200</v>
      </c>
      <c r="J100" s="8">
        <v>46660</v>
      </c>
      <c r="K100" s="5" t="s">
        <v>29</v>
      </c>
      <c r="L100" s="5" t="s">
        <v>35</v>
      </c>
      <c r="M100" s="13" t="s">
        <v>522</v>
      </c>
      <c r="N100" s="5" t="s">
        <v>85</v>
      </c>
      <c r="O100" s="5"/>
      <c r="P100" s="17" t="s">
        <v>523</v>
      </c>
      <c r="Q100" s="12"/>
      <c r="R100" s="5"/>
      <c r="S100" s="5"/>
      <c r="T100" s="31" t="s">
        <v>39</v>
      </c>
      <c r="U100" s="33">
        <v>32040</v>
      </c>
      <c r="V100" s="5"/>
      <c r="W100" s="5"/>
      <c r="X100" s="5"/>
      <c r="Y100" s="5" t="s">
        <v>94</v>
      </c>
    </row>
    <row r="101" spans="1:25" ht="19.5" customHeight="1">
      <c r="A101" s="5" t="s">
        <v>524</v>
      </c>
      <c r="B101" s="5" t="s">
        <v>26</v>
      </c>
      <c r="C101" s="5" t="s">
        <v>27</v>
      </c>
      <c r="D101" s="5">
        <v>171</v>
      </c>
      <c r="E101" s="30" t="s">
        <v>115</v>
      </c>
      <c r="F101" s="5"/>
      <c r="G101" s="5" t="s">
        <v>317</v>
      </c>
      <c r="H101" s="5">
        <v>4</v>
      </c>
      <c r="I101" s="8">
        <v>44835</v>
      </c>
      <c r="J101" s="8">
        <v>46295</v>
      </c>
      <c r="K101" s="5" t="s">
        <v>29</v>
      </c>
      <c r="L101" s="5" t="s">
        <v>50</v>
      </c>
      <c r="M101" s="20" t="s">
        <v>525</v>
      </c>
      <c r="N101" s="21" t="s">
        <v>52</v>
      </c>
      <c r="O101" s="5" t="s">
        <v>64</v>
      </c>
      <c r="P101" s="15" t="s">
        <v>526</v>
      </c>
      <c r="Q101" s="12"/>
      <c r="R101" s="5"/>
      <c r="S101" s="5"/>
      <c r="T101" s="5" t="s">
        <v>39</v>
      </c>
      <c r="U101" s="16">
        <v>36197</v>
      </c>
      <c r="V101" s="5" t="s">
        <v>527</v>
      </c>
      <c r="W101" s="5" t="s">
        <v>40</v>
      </c>
      <c r="X101" s="6">
        <v>2021</v>
      </c>
      <c r="Y101" s="5" t="s">
        <v>160</v>
      </c>
    </row>
    <row r="102" spans="1:25" ht="23.25" customHeight="1">
      <c r="A102" s="5" t="s">
        <v>528</v>
      </c>
      <c r="B102" s="5" t="s">
        <v>26</v>
      </c>
      <c r="C102" s="5" t="s">
        <v>27</v>
      </c>
      <c r="D102" s="5">
        <v>122</v>
      </c>
      <c r="E102" s="7" t="s">
        <v>33</v>
      </c>
      <c r="F102" s="5"/>
      <c r="G102" s="5" t="s">
        <v>49</v>
      </c>
      <c r="H102" s="5">
        <v>2</v>
      </c>
      <c r="I102" s="8">
        <v>45566</v>
      </c>
      <c r="J102" s="9">
        <v>47026</v>
      </c>
      <c r="K102" s="5" t="s">
        <v>29</v>
      </c>
      <c r="L102" s="5" t="s">
        <v>141</v>
      </c>
      <c r="M102" s="17" t="s">
        <v>529</v>
      </c>
      <c r="N102" s="5" t="s">
        <v>143</v>
      </c>
      <c r="O102" s="5"/>
      <c r="P102" s="63" t="s">
        <v>530</v>
      </c>
      <c r="Q102" s="12"/>
      <c r="R102" s="5"/>
      <c r="S102" s="5"/>
      <c r="T102" s="5" t="s">
        <v>39</v>
      </c>
      <c r="U102" s="8">
        <v>35935</v>
      </c>
      <c r="V102" s="5"/>
      <c r="W102" s="5"/>
      <c r="X102" s="5"/>
      <c r="Y102" s="5" t="s">
        <v>41</v>
      </c>
    </row>
    <row r="103" spans="1:25" ht="13.8">
      <c r="A103" s="13" t="s">
        <v>531</v>
      </c>
      <c r="B103" s="5" t="s">
        <v>26</v>
      </c>
      <c r="C103" s="5" t="s">
        <v>27</v>
      </c>
      <c r="D103" s="5">
        <v>121</v>
      </c>
      <c r="E103" s="7" t="s">
        <v>77</v>
      </c>
      <c r="F103" s="5"/>
      <c r="G103" s="5" t="s">
        <v>532</v>
      </c>
      <c r="H103" s="5">
        <v>3</v>
      </c>
      <c r="I103" s="8">
        <v>45047</v>
      </c>
      <c r="J103" s="8">
        <v>46507</v>
      </c>
      <c r="K103" s="5" t="s">
        <v>29</v>
      </c>
      <c r="L103" s="5" t="s">
        <v>35</v>
      </c>
      <c r="M103" s="15" t="s">
        <v>533</v>
      </c>
      <c r="N103" s="12" t="s">
        <v>37</v>
      </c>
      <c r="O103" s="5"/>
      <c r="P103" s="46" t="s">
        <v>534</v>
      </c>
      <c r="Q103" s="12"/>
      <c r="R103" s="5"/>
      <c r="S103" s="5"/>
      <c r="T103" s="5" t="s">
        <v>39</v>
      </c>
      <c r="U103" s="16">
        <v>36476</v>
      </c>
      <c r="V103" s="5">
        <f>380731763126</f>
        <v>380731763126</v>
      </c>
      <c r="W103" s="5" t="s">
        <v>40</v>
      </c>
      <c r="X103" s="6">
        <v>2022</v>
      </c>
      <c r="Y103" s="5" t="s">
        <v>94</v>
      </c>
    </row>
    <row r="104" spans="1:25" ht="18.75" customHeight="1">
      <c r="A104" s="28" t="s">
        <v>535</v>
      </c>
      <c r="B104" s="5" t="s">
        <v>26</v>
      </c>
      <c r="C104" s="5" t="s">
        <v>27</v>
      </c>
      <c r="D104" s="29">
        <v>105</v>
      </c>
      <c r="E104" s="30" t="s">
        <v>216</v>
      </c>
      <c r="F104" s="5"/>
      <c r="G104" s="13" t="s">
        <v>536</v>
      </c>
      <c r="H104" s="5">
        <v>3</v>
      </c>
      <c r="I104" s="8">
        <v>45200</v>
      </c>
      <c r="J104" s="8">
        <v>46660</v>
      </c>
      <c r="K104" s="5" t="s">
        <v>29</v>
      </c>
      <c r="L104" s="5" t="s">
        <v>35</v>
      </c>
      <c r="M104" s="20" t="s">
        <v>537</v>
      </c>
      <c r="N104" s="5" t="s">
        <v>85</v>
      </c>
      <c r="O104" s="5"/>
      <c r="P104" s="17" t="s">
        <v>538</v>
      </c>
      <c r="Q104" s="12"/>
      <c r="R104" s="5"/>
      <c r="S104" s="5" t="s">
        <v>539</v>
      </c>
      <c r="T104" s="31" t="s">
        <v>39</v>
      </c>
      <c r="U104" s="33">
        <v>35810</v>
      </c>
      <c r="V104" s="5"/>
      <c r="W104" s="5"/>
      <c r="X104" s="5"/>
      <c r="Y104" s="5" t="s">
        <v>220</v>
      </c>
    </row>
    <row r="105" spans="1:25" ht="13.8">
      <c r="A105" s="13" t="s">
        <v>540</v>
      </c>
      <c r="B105" s="5" t="s">
        <v>26</v>
      </c>
      <c r="C105" s="5" t="s">
        <v>27</v>
      </c>
      <c r="D105" s="5">
        <v>122</v>
      </c>
      <c r="E105" s="7" t="s">
        <v>322</v>
      </c>
      <c r="F105" s="5"/>
      <c r="G105" s="5" t="s">
        <v>541</v>
      </c>
      <c r="H105" s="5">
        <v>3</v>
      </c>
      <c r="I105" s="8">
        <v>45047</v>
      </c>
      <c r="J105" s="8">
        <v>46507</v>
      </c>
      <c r="K105" s="5" t="s">
        <v>29</v>
      </c>
      <c r="L105" s="5" t="s">
        <v>35</v>
      </c>
      <c r="M105" s="53" t="s">
        <v>542</v>
      </c>
      <c r="N105" s="12" t="s">
        <v>37</v>
      </c>
      <c r="O105" s="5"/>
      <c r="P105" s="46" t="s">
        <v>543</v>
      </c>
      <c r="Q105" s="12"/>
      <c r="R105" s="5"/>
      <c r="S105" s="5"/>
      <c r="T105" s="5" t="s">
        <v>39</v>
      </c>
      <c r="U105" s="16">
        <v>36426</v>
      </c>
      <c r="V105" s="5">
        <v>380507482558</v>
      </c>
      <c r="W105" s="5" t="s">
        <v>40</v>
      </c>
      <c r="X105" s="6">
        <v>2022</v>
      </c>
      <c r="Y105" s="5"/>
    </row>
    <row r="106" spans="1:25" ht="13.8">
      <c r="A106" s="13" t="s">
        <v>544</v>
      </c>
      <c r="B106" s="5" t="s">
        <v>26</v>
      </c>
      <c r="C106" s="5" t="s">
        <v>27</v>
      </c>
      <c r="D106" s="29">
        <v>171</v>
      </c>
      <c r="E106" s="30" t="s">
        <v>262</v>
      </c>
      <c r="F106" s="5"/>
      <c r="G106" s="5" t="s">
        <v>545</v>
      </c>
      <c r="H106" s="5">
        <v>2</v>
      </c>
      <c r="I106" s="8">
        <v>45231</v>
      </c>
      <c r="J106" s="36">
        <v>46691</v>
      </c>
      <c r="K106" s="5" t="s">
        <v>29</v>
      </c>
      <c r="L106" s="5" t="s">
        <v>35</v>
      </c>
      <c r="M106" s="26" t="s">
        <v>546</v>
      </c>
      <c r="N106" s="37" t="s">
        <v>128</v>
      </c>
      <c r="O106" s="5"/>
      <c r="P106" s="17" t="s">
        <v>547</v>
      </c>
      <c r="Q106" s="12"/>
      <c r="R106" s="5"/>
      <c r="S106" s="5" t="s">
        <v>548</v>
      </c>
      <c r="T106" s="5" t="s">
        <v>39</v>
      </c>
      <c r="U106" s="33">
        <v>31436</v>
      </c>
      <c r="V106" s="5"/>
      <c r="W106" s="5"/>
      <c r="X106" s="5"/>
      <c r="Y106" s="5" t="s">
        <v>266</v>
      </c>
    </row>
    <row r="107" spans="1:25" ht="13.8">
      <c r="A107" s="28" t="s">
        <v>549</v>
      </c>
      <c r="B107" s="5" t="s">
        <v>26</v>
      </c>
      <c r="C107" s="5" t="s">
        <v>27</v>
      </c>
      <c r="D107" s="29">
        <v>125</v>
      </c>
      <c r="E107" s="30" t="s">
        <v>104</v>
      </c>
      <c r="F107" s="5" t="s">
        <v>477</v>
      </c>
      <c r="G107" s="13" t="s">
        <v>550</v>
      </c>
      <c r="H107" s="5">
        <v>3</v>
      </c>
      <c r="I107" s="8">
        <v>45200</v>
      </c>
      <c r="J107" s="8">
        <v>46660</v>
      </c>
      <c r="K107" s="5" t="s">
        <v>29</v>
      </c>
      <c r="L107" s="5" t="s">
        <v>35</v>
      </c>
      <c r="M107" s="26" t="s">
        <v>551</v>
      </c>
      <c r="N107" s="5" t="s">
        <v>85</v>
      </c>
      <c r="O107" s="5"/>
      <c r="P107" s="17" t="s">
        <v>552</v>
      </c>
      <c r="Q107" s="12"/>
      <c r="R107" s="5"/>
      <c r="S107" s="5"/>
      <c r="T107" s="31" t="s">
        <v>39</v>
      </c>
      <c r="U107" s="33">
        <v>32646</v>
      </c>
      <c r="V107" s="5"/>
      <c r="W107" s="5"/>
      <c r="X107" s="5"/>
      <c r="Y107" s="5" t="s">
        <v>106</v>
      </c>
    </row>
    <row r="108" spans="1:25" ht="13.8">
      <c r="A108" s="13" t="s">
        <v>553</v>
      </c>
      <c r="B108" s="5" t="s">
        <v>26</v>
      </c>
      <c r="C108" s="5" t="s">
        <v>27</v>
      </c>
      <c r="D108" s="6" t="s">
        <v>554</v>
      </c>
      <c r="E108" s="7"/>
      <c r="F108" s="5"/>
      <c r="G108" s="17"/>
      <c r="H108" s="5">
        <v>1</v>
      </c>
      <c r="I108" s="8">
        <v>45931</v>
      </c>
      <c r="J108" s="8">
        <v>47391</v>
      </c>
      <c r="K108" s="5" t="s">
        <v>29</v>
      </c>
      <c r="L108" s="5" t="s">
        <v>30</v>
      </c>
      <c r="M108" s="10" t="s">
        <v>555</v>
      </c>
      <c r="N108" s="5" t="s">
        <v>45</v>
      </c>
      <c r="O108" s="5"/>
      <c r="P108" s="54"/>
      <c r="Q108" s="12"/>
      <c r="R108" s="5"/>
      <c r="S108" s="5"/>
      <c r="T108" s="5"/>
      <c r="U108" s="5"/>
      <c r="V108" s="5"/>
      <c r="W108" s="5"/>
      <c r="X108" s="5"/>
      <c r="Y108" s="5"/>
    </row>
    <row r="109" spans="1:25" ht="13.8">
      <c r="A109" s="13" t="s">
        <v>556</v>
      </c>
      <c r="B109" s="5" t="s">
        <v>26</v>
      </c>
      <c r="C109" s="5" t="s">
        <v>27</v>
      </c>
      <c r="D109" s="5">
        <v>174</v>
      </c>
      <c r="E109" s="7" t="s">
        <v>138</v>
      </c>
      <c r="F109" s="5" t="s">
        <v>557</v>
      </c>
      <c r="G109" s="5" t="s">
        <v>558</v>
      </c>
      <c r="H109" s="5">
        <v>3</v>
      </c>
      <c r="I109" s="8">
        <v>45047</v>
      </c>
      <c r="J109" s="8">
        <v>46507</v>
      </c>
      <c r="K109" s="5" t="s">
        <v>29</v>
      </c>
      <c r="L109" s="5" t="s">
        <v>35</v>
      </c>
      <c r="M109" s="60" t="s">
        <v>559</v>
      </c>
      <c r="N109" s="12" t="s">
        <v>37</v>
      </c>
      <c r="O109" s="5"/>
      <c r="P109" s="46" t="s">
        <v>560</v>
      </c>
      <c r="Q109" s="12"/>
      <c r="R109" s="5"/>
      <c r="S109" s="5" t="s">
        <v>275</v>
      </c>
      <c r="T109" s="5" t="s">
        <v>39</v>
      </c>
      <c r="U109" s="16">
        <v>29720</v>
      </c>
      <c r="V109" s="5">
        <v>675722805</v>
      </c>
      <c r="W109" s="5" t="s">
        <v>561</v>
      </c>
      <c r="X109" s="6">
        <v>2003</v>
      </c>
      <c r="Y109" s="5"/>
    </row>
    <row r="110" spans="1:25" ht="13.8">
      <c r="A110" s="5" t="s">
        <v>562</v>
      </c>
      <c r="B110" s="5" t="s">
        <v>47</v>
      </c>
      <c r="C110" s="5" t="s">
        <v>27</v>
      </c>
      <c r="D110" s="5">
        <v>124</v>
      </c>
      <c r="E110" s="64" t="s">
        <v>203</v>
      </c>
      <c r="F110" s="5"/>
      <c r="G110" s="61" t="s">
        <v>563</v>
      </c>
      <c r="H110" s="61"/>
      <c r="I110" s="9">
        <v>43009</v>
      </c>
      <c r="J110" s="9">
        <v>45688</v>
      </c>
      <c r="K110" s="5" t="s">
        <v>29</v>
      </c>
      <c r="L110" s="5" t="s">
        <v>35</v>
      </c>
      <c r="M110" s="13" t="s">
        <v>564</v>
      </c>
      <c r="N110" s="5" t="s">
        <v>71</v>
      </c>
      <c r="O110" s="5" t="s">
        <v>565</v>
      </c>
      <c r="P110" s="15"/>
      <c r="Q110" s="12" t="s">
        <v>566</v>
      </c>
      <c r="R110" s="5" t="s">
        <v>422</v>
      </c>
      <c r="S110" s="5" t="s">
        <v>567</v>
      </c>
      <c r="T110" s="5" t="s">
        <v>39</v>
      </c>
      <c r="U110" s="8">
        <v>34473</v>
      </c>
      <c r="V110" s="5"/>
      <c r="W110" s="5"/>
      <c r="X110" s="5"/>
      <c r="Y110" s="5"/>
    </row>
    <row r="111" spans="1:25" ht="13.8">
      <c r="A111" s="13" t="s">
        <v>568</v>
      </c>
      <c r="B111" s="5" t="s">
        <v>26</v>
      </c>
      <c r="C111" s="5" t="s">
        <v>27</v>
      </c>
      <c r="D111" s="5">
        <v>113</v>
      </c>
      <c r="E111" s="7" t="s">
        <v>203</v>
      </c>
      <c r="F111" s="5"/>
      <c r="G111" s="5" t="s">
        <v>569</v>
      </c>
      <c r="H111" s="5">
        <v>3</v>
      </c>
      <c r="I111" s="8">
        <v>45047</v>
      </c>
      <c r="J111" s="8">
        <v>46507</v>
      </c>
      <c r="K111" s="5" t="s">
        <v>29</v>
      </c>
      <c r="L111" s="5" t="s">
        <v>35</v>
      </c>
      <c r="M111" s="60" t="s">
        <v>570</v>
      </c>
      <c r="N111" s="12" t="s">
        <v>37</v>
      </c>
      <c r="O111" s="5"/>
      <c r="P111" s="65" t="s">
        <v>571</v>
      </c>
      <c r="Q111" s="12"/>
      <c r="R111" s="5"/>
      <c r="S111" s="5"/>
      <c r="T111" s="5" t="s">
        <v>39</v>
      </c>
      <c r="U111" s="16">
        <v>35517</v>
      </c>
      <c r="V111" s="5">
        <f>380660412799</f>
        <v>380660412799</v>
      </c>
      <c r="W111" s="5" t="s">
        <v>416</v>
      </c>
      <c r="X111" s="6">
        <v>2020</v>
      </c>
      <c r="Y111" s="5" t="s">
        <v>41</v>
      </c>
    </row>
    <row r="112" spans="1:25" ht="13.8">
      <c r="A112" s="13" t="s">
        <v>572</v>
      </c>
      <c r="B112" s="5" t="s">
        <v>26</v>
      </c>
      <c r="C112" s="5" t="s">
        <v>27</v>
      </c>
      <c r="D112" s="6" t="s">
        <v>388</v>
      </c>
      <c r="E112" s="7" t="s">
        <v>203</v>
      </c>
      <c r="F112" s="5"/>
      <c r="G112" s="5"/>
      <c r="H112" s="5">
        <v>1</v>
      </c>
      <c r="I112" s="8">
        <v>45931</v>
      </c>
      <c r="J112" s="8">
        <v>47391</v>
      </c>
      <c r="K112" s="5" t="s">
        <v>29</v>
      </c>
      <c r="L112" s="5" t="s">
        <v>30</v>
      </c>
      <c r="M112" s="34" t="s">
        <v>573</v>
      </c>
      <c r="N112" s="5" t="s">
        <v>45</v>
      </c>
      <c r="O112" s="5"/>
      <c r="P112" s="11"/>
      <c r="Q112" s="12"/>
      <c r="R112" s="5"/>
      <c r="S112" s="5"/>
      <c r="T112" s="5"/>
      <c r="U112" s="5"/>
      <c r="V112" s="5"/>
      <c r="W112" s="5"/>
      <c r="X112" s="5"/>
      <c r="Y112" s="5"/>
    </row>
    <row r="113" spans="1:25" ht="21" customHeight="1">
      <c r="A113" s="5" t="s">
        <v>574</v>
      </c>
      <c r="B113" s="5" t="s">
        <v>26</v>
      </c>
      <c r="C113" s="5" t="s">
        <v>27</v>
      </c>
      <c r="D113" s="5">
        <v>172</v>
      </c>
      <c r="E113" s="7" t="s">
        <v>60</v>
      </c>
      <c r="F113" s="5" t="s">
        <v>61</v>
      </c>
      <c r="G113" s="5" t="s">
        <v>70</v>
      </c>
      <c r="H113" s="5">
        <v>2</v>
      </c>
      <c r="I113" s="8">
        <v>45566</v>
      </c>
      <c r="J113" s="9">
        <v>47026</v>
      </c>
      <c r="K113" s="5" t="s">
        <v>29</v>
      </c>
      <c r="L113" s="5" t="s">
        <v>141</v>
      </c>
      <c r="M113" s="66" t="s">
        <v>575</v>
      </c>
      <c r="N113" s="5" t="s">
        <v>143</v>
      </c>
      <c r="O113" s="5"/>
      <c r="P113" s="39" t="s">
        <v>576</v>
      </c>
      <c r="Q113" s="12"/>
      <c r="R113" s="5"/>
      <c r="S113" s="5"/>
      <c r="T113" s="5" t="s">
        <v>39</v>
      </c>
      <c r="U113" s="8">
        <v>35447</v>
      </c>
      <c r="V113" s="5"/>
      <c r="W113" s="5"/>
      <c r="X113" s="5"/>
      <c r="Y113" s="5"/>
    </row>
    <row r="114" spans="1:25" ht="24.75" customHeight="1">
      <c r="A114" s="5" t="s">
        <v>577</v>
      </c>
      <c r="B114" s="61" t="s">
        <v>26</v>
      </c>
      <c r="C114" s="5" t="s">
        <v>27</v>
      </c>
      <c r="D114" s="61">
        <v>126</v>
      </c>
      <c r="E114" s="67" t="s">
        <v>80</v>
      </c>
      <c r="F114" s="5" t="s">
        <v>81</v>
      </c>
      <c r="G114" s="61" t="s">
        <v>119</v>
      </c>
      <c r="H114" s="5">
        <v>4</v>
      </c>
      <c r="I114" s="8">
        <v>44835</v>
      </c>
      <c r="J114" s="8">
        <v>46295</v>
      </c>
      <c r="K114" s="5" t="s">
        <v>29</v>
      </c>
      <c r="L114" s="5" t="s">
        <v>50</v>
      </c>
      <c r="M114" s="28" t="s">
        <v>578</v>
      </c>
      <c r="N114" s="21" t="s">
        <v>52</v>
      </c>
      <c r="O114" s="5" t="s">
        <v>64</v>
      </c>
      <c r="P114" s="40" t="s">
        <v>579</v>
      </c>
      <c r="Q114" s="12"/>
      <c r="R114" s="5"/>
      <c r="S114" s="5"/>
      <c r="T114" s="5" t="s">
        <v>39</v>
      </c>
      <c r="U114" s="16">
        <v>35972</v>
      </c>
      <c r="V114" s="5" t="s">
        <v>580</v>
      </c>
      <c r="W114" s="5" t="s">
        <v>581</v>
      </c>
      <c r="X114" s="6">
        <v>2020</v>
      </c>
      <c r="Y114" s="5" t="s">
        <v>88</v>
      </c>
    </row>
    <row r="115" spans="1:25" ht="15">
      <c r="A115" s="5" t="s">
        <v>582</v>
      </c>
      <c r="B115" s="5" t="s">
        <v>26</v>
      </c>
      <c r="C115" s="5" t="s">
        <v>27</v>
      </c>
      <c r="D115" s="5">
        <v>174</v>
      </c>
      <c r="E115" s="7" t="s">
        <v>138</v>
      </c>
      <c r="F115" s="5" t="s">
        <v>139</v>
      </c>
      <c r="G115" s="5" t="s">
        <v>162</v>
      </c>
      <c r="H115" s="5">
        <v>2</v>
      </c>
      <c r="I115" s="8">
        <v>45566</v>
      </c>
      <c r="J115" s="9">
        <v>47026</v>
      </c>
      <c r="K115" s="5" t="s">
        <v>29</v>
      </c>
      <c r="L115" s="5" t="s">
        <v>141</v>
      </c>
      <c r="M115" s="5" t="s">
        <v>583</v>
      </c>
      <c r="N115" s="5" t="s">
        <v>143</v>
      </c>
      <c r="O115" s="5"/>
      <c r="P115" s="39" t="s">
        <v>584</v>
      </c>
      <c r="Q115" s="12"/>
      <c r="R115" s="5"/>
      <c r="S115" s="5"/>
      <c r="T115" s="5" t="s">
        <v>39</v>
      </c>
      <c r="U115" s="36">
        <v>33540</v>
      </c>
      <c r="V115" s="5"/>
      <c r="W115" s="5"/>
      <c r="X115" s="5"/>
      <c r="Y115" s="5"/>
    </row>
    <row r="116" spans="1:25" ht="13.8">
      <c r="A116" s="5" t="s">
        <v>585</v>
      </c>
      <c r="B116" s="5" t="s">
        <v>26</v>
      </c>
      <c r="C116" s="5" t="s">
        <v>27</v>
      </c>
      <c r="D116" s="5">
        <v>122</v>
      </c>
      <c r="E116" s="30" t="s">
        <v>322</v>
      </c>
      <c r="F116" s="5"/>
      <c r="G116" s="5" t="s">
        <v>586</v>
      </c>
      <c r="H116" s="5">
        <v>4</v>
      </c>
      <c r="I116" s="8">
        <v>44835</v>
      </c>
      <c r="J116" s="8">
        <v>46295</v>
      </c>
      <c r="K116" s="5" t="s">
        <v>29</v>
      </c>
      <c r="L116" s="5" t="s">
        <v>35</v>
      </c>
      <c r="M116" s="60" t="s">
        <v>587</v>
      </c>
      <c r="N116" s="21" t="s">
        <v>52</v>
      </c>
      <c r="O116" s="5" t="s">
        <v>64</v>
      </c>
      <c r="P116" s="15" t="s">
        <v>588</v>
      </c>
      <c r="Q116" s="12"/>
      <c r="R116" s="5"/>
      <c r="S116" s="5"/>
      <c r="T116" s="5" t="s">
        <v>39</v>
      </c>
      <c r="U116" s="16">
        <v>36225</v>
      </c>
      <c r="V116" s="5" t="s">
        <v>589</v>
      </c>
      <c r="W116" s="5" t="s">
        <v>40</v>
      </c>
      <c r="X116" s="6">
        <v>2022</v>
      </c>
      <c r="Y116" s="5"/>
    </row>
    <row r="117" spans="1:25" ht="13.8">
      <c r="A117" s="5" t="s">
        <v>590</v>
      </c>
      <c r="B117" s="5" t="s">
        <v>26</v>
      </c>
      <c r="C117" s="5" t="s">
        <v>27</v>
      </c>
      <c r="D117" s="5">
        <v>122</v>
      </c>
      <c r="E117" s="30" t="s">
        <v>33</v>
      </c>
      <c r="F117" s="5"/>
      <c r="G117" s="5" t="s">
        <v>591</v>
      </c>
      <c r="H117" s="5">
        <v>4</v>
      </c>
      <c r="I117" s="8">
        <v>44835</v>
      </c>
      <c r="J117" s="8">
        <v>46295</v>
      </c>
      <c r="K117" s="5" t="s">
        <v>29</v>
      </c>
      <c r="L117" s="5" t="s">
        <v>35</v>
      </c>
      <c r="M117" s="28" t="s">
        <v>592</v>
      </c>
      <c r="N117" s="21" t="s">
        <v>52</v>
      </c>
      <c r="O117" s="5" t="s">
        <v>64</v>
      </c>
      <c r="P117" s="15" t="s">
        <v>593</v>
      </c>
      <c r="Q117" s="12"/>
      <c r="R117" s="5"/>
      <c r="S117" s="5"/>
      <c r="T117" s="5" t="s">
        <v>39</v>
      </c>
      <c r="U117" s="16">
        <v>24708</v>
      </c>
      <c r="V117" s="5" t="s">
        <v>594</v>
      </c>
      <c r="W117" s="5" t="s">
        <v>40</v>
      </c>
      <c r="X117" s="6">
        <v>2003</v>
      </c>
      <c r="Y117" s="5" t="s">
        <v>41</v>
      </c>
    </row>
    <row r="118" spans="1:25" ht="13.8">
      <c r="A118" s="13" t="s">
        <v>595</v>
      </c>
      <c r="B118" s="5" t="s">
        <v>26</v>
      </c>
      <c r="C118" s="5" t="s">
        <v>27</v>
      </c>
      <c r="D118" s="6" t="s">
        <v>596</v>
      </c>
      <c r="E118" s="7" t="s">
        <v>192</v>
      </c>
      <c r="F118" s="5"/>
      <c r="G118" s="5"/>
      <c r="H118" s="5">
        <v>1</v>
      </c>
      <c r="I118" s="8">
        <v>45931</v>
      </c>
      <c r="J118" s="8">
        <v>47391</v>
      </c>
      <c r="K118" s="5" t="s">
        <v>29</v>
      </c>
      <c r="L118" s="5" t="s">
        <v>30</v>
      </c>
      <c r="M118" s="34" t="s">
        <v>597</v>
      </c>
      <c r="N118" s="5" t="s">
        <v>45</v>
      </c>
      <c r="O118" s="5"/>
      <c r="P118" s="11"/>
      <c r="Q118" s="12"/>
      <c r="R118" s="5"/>
      <c r="S118" s="5"/>
      <c r="T118" s="5"/>
      <c r="U118" s="5"/>
      <c r="V118" s="5"/>
      <c r="W118" s="5"/>
      <c r="X118" s="5"/>
      <c r="Y118" s="5"/>
    </row>
    <row r="119" spans="1:25" ht="15">
      <c r="A119" s="5" t="s">
        <v>598</v>
      </c>
      <c r="B119" s="5" t="s">
        <v>26</v>
      </c>
      <c r="C119" s="5" t="s">
        <v>27</v>
      </c>
      <c r="D119" s="5">
        <v>171</v>
      </c>
      <c r="E119" s="7" t="s">
        <v>115</v>
      </c>
      <c r="F119" s="5"/>
      <c r="G119" s="5" t="s">
        <v>599</v>
      </c>
      <c r="H119" s="5">
        <v>2</v>
      </c>
      <c r="I119" s="8">
        <v>45566</v>
      </c>
      <c r="J119" s="9">
        <v>47026</v>
      </c>
      <c r="K119" s="5" t="s">
        <v>29</v>
      </c>
      <c r="L119" s="5" t="s">
        <v>141</v>
      </c>
      <c r="M119" s="5" t="s">
        <v>600</v>
      </c>
      <c r="N119" s="5" t="s">
        <v>143</v>
      </c>
      <c r="O119" s="5"/>
      <c r="P119" s="39" t="s">
        <v>601</v>
      </c>
      <c r="Q119" s="12"/>
      <c r="R119" s="5"/>
      <c r="S119" s="5"/>
      <c r="T119" s="5" t="s">
        <v>39</v>
      </c>
      <c r="U119" s="8">
        <v>36542</v>
      </c>
      <c r="V119" s="5"/>
      <c r="W119" s="5"/>
      <c r="X119" s="5"/>
      <c r="Y119" s="5" t="s">
        <v>160</v>
      </c>
    </row>
    <row r="120" spans="1:25" ht="13.8">
      <c r="A120" s="13" t="s">
        <v>602</v>
      </c>
      <c r="B120" s="5" t="s">
        <v>26</v>
      </c>
      <c r="C120" s="5" t="s">
        <v>27</v>
      </c>
      <c r="D120" s="6" t="s">
        <v>283</v>
      </c>
      <c r="E120" s="7" t="s">
        <v>138</v>
      </c>
      <c r="F120" s="5"/>
      <c r="G120" s="5"/>
      <c r="H120" s="5">
        <v>1</v>
      </c>
      <c r="I120" s="8">
        <v>45931</v>
      </c>
      <c r="J120" s="8">
        <v>47391</v>
      </c>
      <c r="K120" s="5" t="s">
        <v>29</v>
      </c>
      <c r="L120" s="5" t="s">
        <v>30</v>
      </c>
      <c r="M120" s="34" t="s">
        <v>603</v>
      </c>
      <c r="N120" s="5" t="s">
        <v>45</v>
      </c>
      <c r="O120" s="5"/>
      <c r="P120" s="15"/>
      <c r="Q120" s="12"/>
      <c r="R120" s="5"/>
      <c r="S120" s="5" t="s">
        <v>604</v>
      </c>
      <c r="T120" s="5" t="s">
        <v>39</v>
      </c>
      <c r="U120" s="8">
        <v>31423</v>
      </c>
      <c r="V120" s="5"/>
      <c r="W120" s="5"/>
      <c r="X120" s="5"/>
      <c r="Y120" s="5"/>
    </row>
    <row r="121" spans="1:25" ht="13.8">
      <c r="A121" s="5" t="s">
        <v>605</v>
      </c>
      <c r="B121" s="5" t="s">
        <v>26</v>
      </c>
      <c r="C121" s="5" t="s">
        <v>27</v>
      </c>
      <c r="D121" s="5">
        <v>122</v>
      </c>
      <c r="E121" s="30" t="s">
        <v>124</v>
      </c>
      <c r="F121" s="5" t="s">
        <v>125</v>
      </c>
      <c r="G121" s="5" t="s">
        <v>606</v>
      </c>
      <c r="H121" s="5">
        <v>4</v>
      </c>
      <c r="I121" s="8">
        <v>44835</v>
      </c>
      <c r="J121" s="8">
        <v>46295</v>
      </c>
      <c r="K121" s="5" t="s">
        <v>29</v>
      </c>
      <c r="L121" s="5" t="s">
        <v>35</v>
      </c>
      <c r="M121" s="28" t="s">
        <v>607</v>
      </c>
      <c r="N121" s="21" t="s">
        <v>52</v>
      </c>
      <c r="O121" s="5" t="s">
        <v>64</v>
      </c>
      <c r="P121" s="40" t="s">
        <v>608</v>
      </c>
      <c r="Q121" s="12"/>
      <c r="R121" s="5"/>
      <c r="S121" s="5"/>
      <c r="T121" s="5" t="s">
        <v>39</v>
      </c>
      <c r="U121" s="16">
        <v>33680</v>
      </c>
      <c r="V121" s="5" t="s">
        <v>609</v>
      </c>
      <c r="W121" s="5" t="s">
        <v>40</v>
      </c>
      <c r="X121" s="6">
        <v>2015</v>
      </c>
      <c r="Y121" s="5" t="s">
        <v>266</v>
      </c>
    </row>
    <row r="122" spans="1:25" ht="13.8">
      <c r="A122" s="13" t="s">
        <v>610</v>
      </c>
      <c r="B122" s="5" t="s">
        <v>26</v>
      </c>
      <c r="C122" s="5" t="s">
        <v>27</v>
      </c>
      <c r="D122" s="6" t="s">
        <v>554</v>
      </c>
      <c r="E122" s="7"/>
      <c r="F122" s="5"/>
      <c r="G122" s="5"/>
      <c r="H122" s="5">
        <v>1</v>
      </c>
      <c r="I122" s="8">
        <v>45931</v>
      </c>
      <c r="J122" s="8">
        <v>47391</v>
      </c>
      <c r="K122" s="5" t="s">
        <v>29</v>
      </c>
      <c r="L122" s="5" t="s">
        <v>30</v>
      </c>
      <c r="M122" s="34" t="s">
        <v>611</v>
      </c>
      <c r="N122" s="5" t="s">
        <v>45</v>
      </c>
      <c r="O122" s="5"/>
      <c r="P122" s="11"/>
      <c r="Q122" s="12"/>
      <c r="R122" s="5"/>
      <c r="S122" s="5"/>
      <c r="T122" s="5"/>
      <c r="U122" s="5"/>
      <c r="V122" s="5"/>
      <c r="W122" s="5"/>
      <c r="X122" s="5"/>
      <c r="Y122" s="5"/>
    </row>
    <row r="123" spans="1:25" ht="15">
      <c r="A123" s="5" t="s">
        <v>612</v>
      </c>
      <c r="B123" s="5" t="s">
        <v>26</v>
      </c>
      <c r="C123" s="5" t="s">
        <v>27</v>
      </c>
      <c r="D123" s="5">
        <v>105</v>
      </c>
      <c r="E123" s="7" t="s">
        <v>216</v>
      </c>
      <c r="F123" s="5"/>
      <c r="G123" s="5" t="s">
        <v>536</v>
      </c>
      <c r="H123" s="5">
        <v>2</v>
      </c>
      <c r="I123" s="8">
        <v>45566</v>
      </c>
      <c r="J123" s="9">
        <v>47026</v>
      </c>
      <c r="K123" s="5" t="s">
        <v>29</v>
      </c>
      <c r="L123" s="5" t="s">
        <v>141</v>
      </c>
      <c r="M123" s="68" t="s">
        <v>613</v>
      </c>
      <c r="N123" s="5" t="s">
        <v>143</v>
      </c>
      <c r="O123" s="5"/>
      <c r="P123" s="39" t="s">
        <v>614</v>
      </c>
      <c r="Q123" s="12"/>
      <c r="R123" s="5"/>
      <c r="S123" s="5"/>
      <c r="T123" s="5" t="s">
        <v>39</v>
      </c>
      <c r="U123" s="36">
        <v>33931</v>
      </c>
      <c r="V123" s="5"/>
      <c r="W123" s="5"/>
      <c r="X123" s="5"/>
      <c r="Y123" s="5" t="s">
        <v>220</v>
      </c>
    </row>
    <row r="124" spans="1:25" ht="13.8">
      <c r="A124" s="28" t="s">
        <v>615</v>
      </c>
      <c r="B124" s="5" t="s">
        <v>26</v>
      </c>
      <c r="C124" s="5" t="s">
        <v>27</v>
      </c>
      <c r="D124" s="29">
        <v>121</v>
      </c>
      <c r="E124" s="30" t="s">
        <v>77</v>
      </c>
      <c r="F124" s="5"/>
      <c r="G124" s="13" t="s">
        <v>440</v>
      </c>
      <c r="H124" s="5">
        <v>3</v>
      </c>
      <c r="I124" s="8">
        <v>45200</v>
      </c>
      <c r="J124" s="8">
        <v>46660</v>
      </c>
      <c r="K124" s="5" t="s">
        <v>29</v>
      </c>
      <c r="L124" s="5" t="s">
        <v>50</v>
      </c>
      <c r="M124" s="13" t="s">
        <v>616</v>
      </c>
      <c r="N124" s="5" t="s">
        <v>85</v>
      </c>
      <c r="O124" s="5"/>
      <c r="P124" s="17" t="s">
        <v>617</v>
      </c>
      <c r="Q124" s="12"/>
      <c r="R124" s="5"/>
      <c r="S124" s="5"/>
      <c r="T124" s="31" t="s">
        <v>39</v>
      </c>
      <c r="U124" s="33">
        <v>36416</v>
      </c>
      <c r="V124" s="5"/>
      <c r="W124" s="5"/>
      <c r="X124" s="5"/>
      <c r="Y124" s="5" t="s">
        <v>94</v>
      </c>
    </row>
    <row r="125" spans="1:25" ht="15">
      <c r="A125" s="5" t="s">
        <v>618</v>
      </c>
      <c r="B125" s="5" t="s">
        <v>26</v>
      </c>
      <c r="C125" s="5" t="s">
        <v>27</v>
      </c>
      <c r="D125" s="5">
        <v>126</v>
      </c>
      <c r="E125" s="7" t="s">
        <v>80</v>
      </c>
      <c r="F125" s="5" t="s">
        <v>81</v>
      </c>
      <c r="G125" s="5" t="s">
        <v>619</v>
      </c>
      <c r="H125" s="5">
        <v>2</v>
      </c>
      <c r="I125" s="8">
        <v>45566</v>
      </c>
      <c r="J125" s="9">
        <v>47026</v>
      </c>
      <c r="K125" s="5" t="s">
        <v>29</v>
      </c>
      <c r="L125" s="5" t="s">
        <v>141</v>
      </c>
      <c r="M125" s="5" t="s">
        <v>620</v>
      </c>
      <c r="N125" s="5" t="s">
        <v>143</v>
      </c>
      <c r="O125" s="5"/>
      <c r="P125" s="39" t="s">
        <v>621</v>
      </c>
      <c r="Q125" s="12"/>
      <c r="R125" s="5"/>
      <c r="S125" s="5"/>
      <c r="T125" s="5" t="s">
        <v>39</v>
      </c>
      <c r="U125" s="8">
        <v>37088</v>
      </c>
      <c r="V125" s="5"/>
      <c r="W125" s="5"/>
      <c r="X125" s="5"/>
      <c r="Y125" s="5" t="s">
        <v>88</v>
      </c>
    </row>
    <row r="126" spans="1:25" ht="13.8">
      <c r="A126" s="13" t="s">
        <v>622</v>
      </c>
      <c r="B126" s="5" t="s">
        <v>26</v>
      </c>
      <c r="C126" s="5" t="s">
        <v>27</v>
      </c>
      <c r="D126" s="5">
        <v>174</v>
      </c>
      <c r="E126" s="7" t="s">
        <v>138</v>
      </c>
      <c r="F126" s="5" t="s">
        <v>557</v>
      </c>
      <c r="G126" s="5" t="s">
        <v>268</v>
      </c>
      <c r="H126" s="5">
        <v>3</v>
      </c>
      <c r="I126" s="8">
        <v>45047</v>
      </c>
      <c r="J126" s="8">
        <v>46507</v>
      </c>
      <c r="K126" s="5" t="s">
        <v>29</v>
      </c>
      <c r="L126" s="5" t="s">
        <v>35</v>
      </c>
      <c r="M126" s="60" t="s">
        <v>623</v>
      </c>
      <c r="N126" s="12" t="s">
        <v>37</v>
      </c>
      <c r="O126" s="5"/>
      <c r="P126" s="46" t="s">
        <v>624</v>
      </c>
      <c r="Q126" s="12"/>
      <c r="R126" s="5"/>
      <c r="S126" s="5" t="s">
        <v>625</v>
      </c>
      <c r="T126" s="5" t="s">
        <v>39</v>
      </c>
      <c r="U126" s="16">
        <v>27291</v>
      </c>
      <c r="V126" s="5">
        <f>380509758227</f>
        <v>380509758227</v>
      </c>
      <c r="W126" s="5" t="s">
        <v>626</v>
      </c>
      <c r="X126" s="6">
        <v>1996</v>
      </c>
      <c r="Y126" s="5"/>
    </row>
    <row r="127" spans="1:25" ht="13.8">
      <c r="A127" s="28" t="s">
        <v>627</v>
      </c>
      <c r="B127" s="5" t="s">
        <v>26</v>
      </c>
      <c r="C127" s="5" t="s">
        <v>27</v>
      </c>
      <c r="D127" s="29">
        <v>171</v>
      </c>
      <c r="E127" s="30" t="s">
        <v>115</v>
      </c>
      <c r="F127" s="5"/>
      <c r="G127" s="13" t="s">
        <v>628</v>
      </c>
      <c r="H127" s="5">
        <v>3</v>
      </c>
      <c r="I127" s="8">
        <v>45200</v>
      </c>
      <c r="J127" s="8">
        <v>46660</v>
      </c>
      <c r="K127" s="5" t="s">
        <v>29</v>
      </c>
      <c r="L127" s="5" t="s">
        <v>35</v>
      </c>
      <c r="M127" s="13" t="s">
        <v>629</v>
      </c>
      <c r="N127" s="5" t="s">
        <v>85</v>
      </c>
      <c r="O127" s="5"/>
      <c r="P127" s="5" t="s">
        <v>630</v>
      </c>
      <c r="Q127" s="12"/>
      <c r="R127" s="5"/>
      <c r="S127" s="5"/>
      <c r="T127" s="37" t="s">
        <v>39</v>
      </c>
      <c r="U127" s="33">
        <v>36207</v>
      </c>
      <c r="V127" s="5"/>
      <c r="W127" s="5"/>
      <c r="X127" s="5"/>
      <c r="Y127" s="5" t="s">
        <v>160</v>
      </c>
    </row>
    <row r="128" spans="1:25" ht="13.8">
      <c r="A128" s="28" t="s">
        <v>631</v>
      </c>
      <c r="B128" s="5" t="s">
        <v>26</v>
      </c>
      <c r="C128" s="5" t="s">
        <v>27</v>
      </c>
      <c r="D128" s="29">
        <v>125</v>
      </c>
      <c r="E128" s="30" t="s">
        <v>104</v>
      </c>
      <c r="F128" s="5" t="s">
        <v>477</v>
      </c>
      <c r="G128" s="13" t="s">
        <v>632</v>
      </c>
      <c r="H128" s="5">
        <v>3</v>
      </c>
      <c r="I128" s="8">
        <v>45200</v>
      </c>
      <c r="J128" s="8">
        <v>46660</v>
      </c>
      <c r="K128" s="5" t="s">
        <v>29</v>
      </c>
      <c r="L128" s="5" t="s">
        <v>35</v>
      </c>
      <c r="M128" s="13" t="s">
        <v>633</v>
      </c>
      <c r="N128" s="5" t="s">
        <v>85</v>
      </c>
      <c r="O128" s="5"/>
      <c r="P128" s="17" t="s">
        <v>634</v>
      </c>
      <c r="Q128" s="12"/>
      <c r="R128" s="5"/>
      <c r="S128" s="5"/>
      <c r="T128" s="31" t="s">
        <v>39</v>
      </c>
      <c r="U128" s="33">
        <v>34846</v>
      </c>
      <c r="V128" s="5"/>
      <c r="W128" s="5"/>
      <c r="X128" s="5"/>
      <c r="Y128" s="5" t="s">
        <v>106</v>
      </c>
    </row>
    <row r="129" spans="1:25" ht="13.8">
      <c r="A129" s="5" t="s">
        <v>635</v>
      </c>
      <c r="B129" s="5" t="s">
        <v>26</v>
      </c>
      <c r="C129" s="5" t="s">
        <v>27</v>
      </c>
      <c r="D129" s="5">
        <v>126</v>
      </c>
      <c r="E129" s="7" t="s">
        <v>80</v>
      </c>
      <c r="F129" s="5" t="s">
        <v>81</v>
      </c>
      <c r="G129" s="5" t="s">
        <v>636</v>
      </c>
      <c r="H129" s="5">
        <v>3</v>
      </c>
      <c r="I129" s="8">
        <v>44621</v>
      </c>
      <c r="J129" s="9">
        <v>46446</v>
      </c>
      <c r="K129" s="5" t="s">
        <v>29</v>
      </c>
      <c r="L129" s="5" t="s">
        <v>35</v>
      </c>
      <c r="M129" s="28" t="s">
        <v>637</v>
      </c>
      <c r="N129" s="69" t="s">
        <v>638</v>
      </c>
      <c r="O129" s="5" t="s">
        <v>64</v>
      </c>
      <c r="P129" s="40" t="s">
        <v>639</v>
      </c>
      <c r="Q129" s="12"/>
      <c r="R129" s="5"/>
      <c r="S129" s="5" t="s">
        <v>640</v>
      </c>
      <c r="T129" s="5" t="s">
        <v>39</v>
      </c>
      <c r="U129" s="70">
        <v>35739</v>
      </c>
      <c r="V129" s="5" t="s">
        <v>641</v>
      </c>
      <c r="W129" s="5" t="s">
        <v>40</v>
      </c>
      <c r="X129" s="5">
        <v>2021</v>
      </c>
      <c r="Y129" s="5" t="s">
        <v>88</v>
      </c>
    </row>
    <row r="130" spans="1:25" ht="13.8">
      <c r="A130" s="5" t="s">
        <v>642</v>
      </c>
      <c r="B130" s="5" t="s">
        <v>26</v>
      </c>
      <c r="C130" s="5" t="s">
        <v>27</v>
      </c>
      <c r="D130" s="5">
        <v>121</v>
      </c>
      <c r="E130" s="7" t="s">
        <v>77</v>
      </c>
      <c r="F130" s="5"/>
      <c r="G130" s="5" t="s">
        <v>226</v>
      </c>
      <c r="H130" s="5">
        <v>4</v>
      </c>
      <c r="I130" s="8">
        <v>44835</v>
      </c>
      <c r="J130" s="8">
        <v>46295</v>
      </c>
      <c r="K130" s="5" t="s">
        <v>29</v>
      </c>
      <c r="L130" s="5" t="s">
        <v>35</v>
      </c>
      <c r="M130" s="60" t="s">
        <v>643</v>
      </c>
      <c r="N130" s="21" t="s">
        <v>52</v>
      </c>
      <c r="O130" s="5" t="s">
        <v>64</v>
      </c>
      <c r="P130" s="40" t="s">
        <v>644</v>
      </c>
      <c r="Q130" s="12"/>
      <c r="R130" s="5"/>
      <c r="S130" s="5"/>
      <c r="T130" s="5" t="s">
        <v>39</v>
      </c>
      <c r="U130" s="16">
        <v>36297</v>
      </c>
      <c r="V130" s="5" t="s">
        <v>645</v>
      </c>
      <c r="W130" s="5" t="s">
        <v>40</v>
      </c>
      <c r="X130" s="6">
        <v>2022</v>
      </c>
      <c r="Y130" s="5" t="s">
        <v>94</v>
      </c>
    </row>
    <row r="131" spans="1:25" ht="13.8">
      <c r="A131" s="13" t="s">
        <v>646</v>
      </c>
      <c r="B131" s="5" t="s">
        <v>26</v>
      </c>
      <c r="C131" s="5" t="s">
        <v>27</v>
      </c>
      <c r="D131" s="6" t="s">
        <v>76</v>
      </c>
      <c r="E131" s="7" t="s">
        <v>77</v>
      </c>
      <c r="F131" s="5"/>
      <c r="G131" s="5"/>
      <c r="H131" s="5">
        <v>1</v>
      </c>
      <c r="I131" s="8">
        <v>45931</v>
      </c>
      <c r="J131" s="8">
        <v>47391</v>
      </c>
      <c r="K131" s="5" t="s">
        <v>29</v>
      </c>
      <c r="L131" s="5" t="s">
        <v>30</v>
      </c>
      <c r="M131" s="34" t="s">
        <v>647</v>
      </c>
      <c r="N131" s="5" t="s">
        <v>45</v>
      </c>
      <c r="O131" s="5"/>
      <c r="P131" s="35"/>
      <c r="Q131" s="12"/>
      <c r="R131" s="5"/>
      <c r="S131" s="5"/>
      <c r="T131" s="5"/>
      <c r="U131" s="5"/>
      <c r="V131" s="5"/>
      <c r="W131" s="5"/>
      <c r="X131" s="5"/>
      <c r="Y131" s="5"/>
    </row>
    <row r="132" spans="1:25" ht="27.6">
      <c r="A132" s="61" t="s">
        <v>648</v>
      </c>
      <c r="B132" s="5" t="s">
        <v>47</v>
      </c>
      <c r="C132" s="5" t="s">
        <v>649</v>
      </c>
      <c r="D132" s="5">
        <v>171</v>
      </c>
      <c r="E132" s="7" t="s">
        <v>262</v>
      </c>
      <c r="F132" s="5"/>
      <c r="G132" s="5" t="s">
        <v>650</v>
      </c>
      <c r="H132" s="5"/>
      <c r="I132" s="8">
        <v>43891</v>
      </c>
      <c r="J132" s="8">
        <v>45777</v>
      </c>
      <c r="K132" s="5" t="s">
        <v>29</v>
      </c>
      <c r="L132" s="5" t="s">
        <v>35</v>
      </c>
      <c r="M132" s="5" t="s">
        <v>651</v>
      </c>
      <c r="N132" s="5" t="s">
        <v>652</v>
      </c>
      <c r="O132" s="61" t="s">
        <v>271</v>
      </c>
      <c r="P132" s="15"/>
      <c r="Q132" s="12" t="s">
        <v>653</v>
      </c>
      <c r="R132" s="5"/>
      <c r="S132" s="5" t="s">
        <v>654</v>
      </c>
      <c r="T132" s="5" t="s">
        <v>39</v>
      </c>
      <c r="U132" s="36">
        <v>35013</v>
      </c>
      <c r="V132" s="5"/>
      <c r="W132" s="5"/>
      <c r="X132" s="5"/>
      <c r="Y132" s="5"/>
    </row>
    <row r="133" spans="1:25" ht="82.8">
      <c r="A133" s="5" t="s">
        <v>655</v>
      </c>
      <c r="B133" s="5" t="s">
        <v>68</v>
      </c>
      <c r="C133" s="5" t="s">
        <v>656</v>
      </c>
      <c r="D133" s="5">
        <v>171</v>
      </c>
      <c r="E133" s="7" t="s">
        <v>262</v>
      </c>
      <c r="F133" s="5"/>
      <c r="G133" s="5" t="s">
        <v>545</v>
      </c>
      <c r="H133" s="5">
        <v>3</v>
      </c>
      <c r="I133" s="8">
        <v>44835</v>
      </c>
      <c r="J133" s="8">
        <v>46295</v>
      </c>
      <c r="K133" s="5" t="s">
        <v>29</v>
      </c>
      <c r="L133" s="5" t="s">
        <v>35</v>
      </c>
      <c r="M133" s="60" t="s">
        <v>657</v>
      </c>
      <c r="N133" s="21" t="s">
        <v>52</v>
      </c>
      <c r="O133" s="5" t="s">
        <v>64</v>
      </c>
      <c r="P133" s="11" t="s">
        <v>658</v>
      </c>
      <c r="Q133" s="12"/>
      <c r="R133" s="5"/>
      <c r="S133" s="5" t="s">
        <v>659</v>
      </c>
      <c r="T133" s="5" t="s">
        <v>39</v>
      </c>
      <c r="U133" s="16">
        <v>34508</v>
      </c>
      <c r="V133" s="5" t="s">
        <v>660</v>
      </c>
      <c r="W133" s="5" t="s">
        <v>40</v>
      </c>
      <c r="X133" s="6">
        <v>2018</v>
      </c>
      <c r="Y133" s="5"/>
    </row>
    <row r="134" spans="1:25" ht="13.8">
      <c r="A134" s="5" t="s">
        <v>661</v>
      </c>
      <c r="B134" s="5" t="s">
        <v>47</v>
      </c>
      <c r="C134" s="5" t="s">
        <v>27</v>
      </c>
      <c r="D134" s="5">
        <v>121</v>
      </c>
      <c r="E134" s="7" t="s">
        <v>77</v>
      </c>
      <c r="F134" s="5"/>
      <c r="G134" s="37" t="s">
        <v>302</v>
      </c>
      <c r="H134" s="5"/>
      <c r="I134" s="48">
        <v>44470</v>
      </c>
      <c r="J134" s="48">
        <v>45929</v>
      </c>
      <c r="K134" s="5" t="s">
        <v>29</v>
      </c>
      <c r="L134" s="5" t="s">
        <v>418</v>
      </c>
      <c r="M134" s="28" t="s">
        <v>662</v>
      </c>
      <c r="N134" s="12" t="s">
        <v>270</v>
      </c>
      <c r="O134" s="5" t="s">
        <v>271</v>
      </c>
      <c r="P134" s="71" t="s">
        <v>663</v>
      </c>
      <c r="Q134" s="12" t="s">
        <v>664</v>
      </c>
      <c r="R134" s="5" t="s">
        <v>492</v>
      </c>
      <c r="S134" s="5" t="s">
        <v>665</v>
      </c>
      <c r="T134" s="5" t="s">
        <v>39</v>
      </c>
      <c r="U134" s="48">
        <v>35951</v>
      </c>
      <c r="V134" s="5" t="s">
        <v>666</v>
      </c>
      <c r="W134" s="5" t="s">
        <v>40</v>
      </c>
      <c r="X134" s="5">
        <v>2021</v>
      </c>
      <c r="Y134" s="5"/>
    </row>
    <row r="135" spans="1:25" ht="15">
      <c r="A135" s="5" t="s">
        <v>667</v>
      </c>
      <c r="B135" s="5" t="s">
        <v>26</v>
      </c>
      <c r="C135" s="5" t="s">
        <v>27</v>
      </c>
      <c r="D135" s="5">
        <v>122</v>
      </c>
      <c r="E135" s="7" t="s">
        <v>322</v>
      </c>
      <c r="F135" s="5"/>
      <c r="G135" s="5" t="s">
        <v>668</v>
      </c>
      <c r="H135" s="5">
        <v>2</v>
      </c>
      <c r="I135" s="8">
        <v>45566</v>
      </c>
      <c r="J135" s="9">
        <v>47026</v>
      </c>
      <c r="K135" s="5" t="s">
        <v>29</v>
      </c>
      <c r="L135" s="5" t="s">
        <v>141</v>
      </c>
      <c r="M135" s="5" t="s">
        <v>669</v>
      </c>
      <c r="N135" s="5" t="s">
        <v>143</v>
      </c>
      <c r="O135" s="5"/>
      <c r="P135" s="39" t="s">
        <v>670</v>
      </c>
      <c r="Q135" s="12"/>
      <c r="R135" s="5"/>
      <c r="S135" s="5"/>
      <c r="T135" s="5" t="s">
        <v>39</v>
      </c>
      <c r="U135" s="8">
        <v>36560</v>
      </c>
      <c r="V135" s="5"/>
      <c r="W135" s="5"/>
      <c r="X135" s="5"/>
      <c r="Y135" s="5"/>
    </row>
    <row r="136" spans="1:25" ht="29.25" customHeight="1">
      <c r="A136" s="13" t="s">
        <v>671</v>
      </c>
      <c r="B136" s="5" t="s">
        <v>26</v>
      </c>
      <c r="C136" s="5" t="s">
        <v>27</v>
      </c>
      <c r="D136" s="5">
        <v>122</v>
      </c>
      <c r="E136" s="7" t="s">
        <v>294</v>
      </c>
      <c r="F136" s="5" t="s">
        <v>295</v>
      </c>
      <c r="G136" s="5" t="s">
        <v>672</v>
      </c>
      <c r="H136" s="5">
        <v>3</v>
      </c>
      <c r="I136" s="8">
        <v>45047</v>
      </c>
      <c r="J136" s="8">
        <v>46507</v>
      </c>
      <c r="K136" s="5" t="s">
        <v>29</v>
      </c>
      <c r="L136" s="5" t="s">
        <v>35</v>
      </c>
      <c r="M136" s="60" t="s">
        <v>673</v>
      </c>
      <c r="N136" s="12" t="s">
        <v>37</v>
      </c>
      <c r="O136" s="5"/>
      <c r="P136" s="46" t="s">
        <v>674</v>
      </c>
      <c r="Q136" s="12"/>
      <c r="R136" s="5"/>
      <c r="S136" s="5"/>
      <c r="T136" s="5" t="s">
        <v>39</v>
      </c>
      <c r="U136" s="16">
        <v>36713</v>
      </c>
      <c r="V136" s="5">
        <f>380990017445</f>
        <v>380990017445</v>
      </c>
      <c r="W136" s="5" t="s">
        <v>40</v>
      </c>
      <c r="X136" s="6">
        <v>2022</v>
      </c>
      <c r="Y136" s="5" t="s">
        <v>299</v>
      </c>
    </row>
    <row r="137" spans="1:25" ht="13.8">
      <c r="A137" s="13" t="s">
        <v>675</v>
      </c>
      <c r="B137" s="5" t="s">
        <v>47</v>
      </c>
      <c r="C137" s="5" t="s">
        <v>27</v>
      </c>
      <c r="D137" s="29">
        <v>123</v>
      </c>
      <c r="E137" s="30" t="s">
        <v>80</v>
      </c>
      <c r="F137" s="5"/>
      <c r="G137" s="13" t="s">
        <v>676</v>
      </c>
      <c r="H137" s="5"/>
      <c r="I137" s="8">
        <v>45231</v>
      </c>
      <c r="J137" s="36">
        <v>45930</v>
      </c>
      <c r="K137" s="5" t="s">
        <v>29</v>
      </c>
      <c r="L137" s="5" t="s">
        <v>35</v>
      </c>
      <c r="M137" s="13" t="s">
        <v>677</v>
      </c>
      <c r="N137" s="37" t="s">
        <v>128</v>
      </c>
      <c r="O137" s="5"/>
      <c r="P137" s="17" t="s">
        <v>678</v>
      </c>
      <c r="Q137" s="12" t="s">
        <v>679</v>
      </c>
      <c r="R137" s="5" t="s">
        <v>680</v>
      </c>
      <c r="S137" s="5"/>
      <c r="T137" s="5" t="s">
        <v>39</v>
      </c>
      <c r="U137" s="33">
        <v>36190</v>
      </c>
      <c r="V137" s="5"/>
      <c r="W137" s="5"/>
      <c r="X137" s="5"/>
      <c r="Y137" s="5"/>
    </row>
    <row r="138" spans="1:25" ht="13.8">
      <c r="A138" s="13" t="s">
        <v>681</v>
      </c>
      <c r="B138" s="5" t="s">
        <v>26</v>
      </c>
      <c r="C138" s="5" t="s">
        <v>27</v>
      </c>
      <c r="D138" s="5">
        <v>105</v>
      </c>
      <c r="E138" s="7" t="s">
        <v>216</v>
      </c>
      <c r="F138" s="5"/>
      <c r="G138" s="5" t="s">
        <v>682</v>
      </c>
      <c r="H138" s="5">
        <v>3</v>
      </c>
      <c r="I138" s="8">
        <v>45047</v>
      </c>
      <c r="J138" s="8">
        <v>46507</v>
      </c>
      <c r="K138" s="5" t="s">
        <v>29</v>
      </c>
      <c r="L138" s="5" t="s">
        <v>35</v>
      </c>
      <c r="M138" s="53" t="s">
        <v>683</v>
      </c>
      <c r="N138" s="12" t="s">
        <v>37</v>
      </c>
      <c r="O138" s="5"/>
      <c r="P138" s="46" t="s">
        <v>684</v>
      </c>
      <c r="Q138" s="12"/>
      <c r="R138" s="5"/>
      <c r="S138" s="5" t="s">
        <v>685</v>
      </c>
      <c r="T138" s="5" t="s">
        <v>39</v>
      </c>
      <c r="U138" s="16">
        <v>36570</v>
      </c>
      <c r="V138" s="5">
        <f>380937657015</f>
        <v>380937657015</v>
      </c>
      <c r="W138" s="5" t="s">
        <v>40</v>
      </c>
      <c r="X138" s="6">
        <v>2022</v>
      </c>
      <c r="Y138" s="5" t="s">
        <v>220</v>
      </c>
    </row>
    <row r="139" spans="1:25" ht="13.8">
      <c r="A139" s="5" t="s">
        <v>686</v>
      </c>
      <c r="B139" s="5" t="s">
        <v>26</v>
      </c>
      <c r="C139" s="5" t="s">
        <v>27</v>
      </c>
      <c r="D139" s="5">
        <v>123</v>
      </c>
      <c r="E139" s="7" t="s">
        <v>249</v>
      </c>
      <c r="F139" s="5" t="s">
        <v>250</v>
      </c>
      <c r="G139" s="5" t="s">
        <v>687</v>
      </c>
      <c r="H139" s="5">
        <v>4</v>
      </c>
      <c r="I139" s="8">
        <v>44835</v>
      </c>
      <c r="J139" s="8">
        <v>46295</v>
      </c>
      <c r="K139" s="5" t="s">
        <v>29</v>
      </c>
      <c r="L139" s="5" t="s">
        <v>35</v>
      </c>
      <c r="M139" s="28" t="s">
        <v>688</v>
      </c>
      <c r="N139" s="21" t="s">
        <v>52</v>
      </c>
      <c r="O139" s="5" t="s">
        <v>64</v>
      </c>
      <c r="P139" s="15" t="s">
        <v>689</v>
      </c>
      <c r="Q139" s="12"/>
      <c r="R139" s="5"/>
      <c r="S139" s="5" t="s">
        <v>255</v>
      </c>
      <c r="T139" s="5" t="s">
        <v>39</v>
      </c>
      <c r="U139" s="16">
        <v>28228</v>
      </c>
      <c r="V139" s="50" t="s">
        <v>690</v>
      </c>
      <c r="W139" s="5" t="s">
        <v>40</v>
      </c>
      <c r="X139" s="6">
        <v>2002</v>
      </c>
      <c r="Y139" s="5" t="s">
        <v>299</v>
      </c>
    </row>
    <row r="140" spans="1:25" ht="13.8">
      <c r="A140" s="13" t="s">
        <v>691</v>
      </c>
      <c r="B140" s="5" t="s">
        <v>26</v>
      </c>
      <c r="C140" s="5" t="s">
        <v>27</v>
      </c>
      <c r="D140" s="5">
        <v>121</v>
      </c>
      <c r="E140" s="7" t="s">
        <v>77</v>
      </c>
      <c r="F140" s="5"/>
      <c r="G140" s="5" t="s">
        <v>692</v>
      </c>
      <c r="H140" s="5">
        <v>3</v>
      </c>
      <c r="I140" s="8">
        <v>45047</v>
      </c>
      <c r="J140" s="8">
        <v>46507</v>
      </c>
      <c r="K140" s="5" t="s">
        <v>29</v>
      </c>
      <c r="L140" s="5" t="s">
        <v>35</v>
      </c>
      <c r="M140" s="60" t="s">
        <v>693</v>
      </c>
      <c r="N140" s="12" t="s">
        <v>37</v>
      </c>
      <c r="O140" s="5"/>
      <c r="P140" s="46" t="s">
        <v>694</v>
      </c>
      <c r="Q140" s="12"/>
      <c r="R140" s="5"/>
      <c r="S140" s="5"/>
      <c r="T140" s="5" t="s">
        <v>39</v>
      </c>
      <c r="U140" s="16">
        <v>34477</v>
      </c>
      <c r="V140" s="5">
        <v>685636595</v>
      </c>
      <c r="W140" s="5" t="s">
        <v>416</v>
      </c>
      <c r="X140" s="6">
        <v>2018</v>
      </c>
      <c r="Y140" s="5" t="s">
        <v>94</v>
      </c>
    </row>
    <row r="141" spans="1:25" ht="13.8">
      <c r="A141" s="28" t="s">
        <v>695</v>
      </c>
      <c r="B141" s="5" t="s">
        <v>26</v>
      </c>
      <c r="C141" s="5" t="s">
        <v>27</v>
      </c>
      <c r="D141" s="29">
        <v>121</v>
      </c>
      <c r="E141" s="30" t="s">
        <v>77</v>
      </c>
      <c r="F141" s="5"/>
      <c r="G141" s="13" t="s">
        <v>226</v>
      </c>
      <c r="H141" s="5">
        <v>3</v>
      </c>
      <c r="I141" s="8">
        <v>45200</v>
      </c>
      <c r="J141" s="8">
        <v>46660</v>
      </c>
      <c r="K141" s="5" t="s">
        <v>29</v>
      </c>
      <c r="L141" s="5" t="s">
        <v>35</v>
      </c>
      <c r="M141" s="13" t="s">
        <v>696</v>
      </c>
      <c r="N141" s="5" t="s">
        <v>85</v>
      </c>
      <c r="O141" s="5"/>
      <c r="P141" s="71" t="s">
        <v>697</v>
      </c>
      <c r="Q141" s="12"/>
      <c r="R141" s="5"/>
      <c r="S141" s="5"/>
      <c r="T141" s="31" t="s">
        <v>39</v>
      </c>
      <c r="U141" s="33">
        <v>36260</v>
      </c>
      <c r="V141" s="5"/>
      <c r="W141" s="5"/>
      <c r="X141" s="5"/>
      <c r="Y141" s="5" t="s">
        <v>94</v>
      </c>
    </row>
    <row r="142" spans="1:25" ht="27.6">
      <c r="A142" s="5" t="s">
        <v>698</v>
      </c>
      <c r="B142" s="5" t="s">
        <v>47</v>
      </c>
      <c r="C142" s="5" t="s">
        <v>699</v>
      </c>
      <c r="D142" s="5">
        <v>122</v>
      </c>
      <c r="E142" s="7" t="s">
        <v>33</v>
      </c>
      <c r="F142" s="5"/>
      <c r="G142" s="5" t="s">
        <v>367</v>
      </c>
      <c r="H142" s="5"/>
      <c r="I142" s="8">
        <v>43739</v>
      </c>
      <c r="J142" s="8">
        <v>45688</v>
      </c>
      <c r="K142" s="5" t="s">
        <v>508</v>
      </c>
      <c r="L142" s="5" t="s">
        <v>50</v>
      </c>
      <c r="M142" s="13" t="s">
        <v>700</v>
      </c>
      <c r="N142" s="37" t="s">
        <v>701</v>
      </c>
      <c r="O142" s="5" t="s">
        <v>702</v>
      </c>
      <c r="P142" s="15"/>
      <c r="Q142" s="12" t="s">
        <v>304</v>
      </c>
      <c r="R142" s="5"/>
      <c r="S142" s="5" t="s">
        <v>703</v>
      </c>
      <c r="T142" s="5" t="s">
        <v>39</v>
      </c>
      <c r="U142" s="8">
        <v>35076</v>
      </c>
      <c r="V142" s="5"/>
      <c r="W142" s="5"/>
      <c r="X142" s="5"/>
      <c r="Y142" s="5"/>
    </row>
    <row r="143" spans="1:25" ht="13.8">
      <c r="A143" s="13" t="s">
        <v>704</v>
      </c>
      <c r="B143" s="5" t="s">
        <v>26</v>
      </c>
      <c r="C143" s="5" t="s">
        <v>705</v>
      </c>
      <c r="D143" s="5">
        <v>174</v>
      </c>
      <c r="E143" s="30" t="s">
        <v>138</v>
      </c>
      <c r="F143" s="5"/>
      <c r="G143" s="5" t="s">
        <v>706</v>
      </c>
      <c r="H143" s="5">
        <v>3</v>
      </c>
      <c r="I143" s="8">
        <v>45047</v>
      </c>
      <c r="J143" s="8">
        <v>46507</v>
      </c>
      <c r="K143" s="5" t="s">
        <v>29</v>
      </c>
      <c r="L143" s="5" t="s">
        <v>707</v>
      </c>
      <c r="M143" s="53" t="s">
        <v>708</v>
      </c>
      <c r="N143" s="12" t="s">
        <v>709</v>
      </c>
      <c r="O143" s="5"/>
      <c r="P143" s="72" t="s">
        <v>710</v>
      </c>
      <c r="Q143" s="12"/>
      <c r="R143" s="5"/>
      <c r="S143" s="5" t="s">
        <v>711</v>
      </c>
      <c r="T143" s="5" t="s">
        <v>39</v>
      </c>
      <c r="U143" s="16">
        <v>36393</v>
      </c>
      <c r="V143" s="73">
        <f>4915172067672</f>
        <v>4915172067672</v>
      </c>
      <c r="W143" s="5" t="s">
        <v>712</v>
      </c>
      <c r="X143" s="6">
        <v>2022</v>
      </c>
      <c r="Y143" s="5"/>
    </row>
    <row r="144" spans="1:25" ht="13.8">
      <c r="A144" s="13" t="s">
        <v>713</v>
      </c>
      <c r="B144" s="5" t="s">
        <v>26</v>
      </c>
      <c r="C144" s="5" t="s">
        <v>27</v>
      </c>
      <c r="D144" s="5">
        <v>123</v>
      </c>
      <c r="E144" s="7" t="s">
        <v>108</v>
      </c>
      <c r="F144" s="5"/>
      <c r="G144" s="5" t="s">
        <v>109</v>
      </c>
      <c r="H144" s="5">
        <v>3</v>
      </c>
      <c r="I144" s="8">
        <v>45047</v>
      </c>
      <c r="J144" s="8">
        <v>46507</v>
      </c>
      <c r="K144" s="5" t="s">
        <v>29</v>
      </c>
      <c r="L144" s="5" t="s">
        <v>35</v>
      </c>
      <c r="M144" s="53" t="s">
        <v>714</v>
      </c>
      <c r="N144" s="12" t="s">
        <v>37</v>
      </c>
      <c r="O144" s="5"/>
      <c r="P144" s="72" t="s">
        <v>715</v>
      </c>
      <c r="Q144" s="12"/>
      <c r="R144" s="5"/>
      <c r="S144" s="5"/>
      <c r="T144" s="5" t="s">
        <v>39</v>
      </c>
      <c r="U144" s="16">
        <v>36461</v>
      </c>
      <c r="V144" s="5">
        <v>380501026408</v>
      </c>
      <c r="W144" s="5" t="s">
        <v>40</v>
      </c>
      <c r="X144" s="6">
        <v>2022</v>
      </c>
      <c r="Y144" s="5" t="s">
        <v>112</v>
      </c>
    </row>
    <row r="145" spans="1:25" ht="13.8">
      <c r="A145" s="5" t="s">
        <v>716</v>
      </c>
      <c r="B145" s="5" t="s">
        <v>26</v>
      </c>
      <c r="C145" s="5" t="s">
        <v>27</v>
      </c>
      <c r="D145" s="5">
        <v>152</v>
      </c>
      <c r="E145" s="30" t="s">
        <v>146</v>
      </c>
      <c r="F145" s="5" t="s">
        <v>717</v>
      </c>
      <c r="G145" s="5" t="s">
        <v>718</v>
      </c>
      <c r="H145" s="5">
        <v>4</v>
      </c>
      <c r="I145" s="8">
        <v>44835</v>
      </c>
      <c r="J145" s="8">
        <v>46295</v>
      </c>
      <c r="K145" s="5" t="s">
        <v>29</v>
      </c>
      <c r="L145" s="5" t="s">
        <v>50</v>
      </c>
      <c r="M145" s="60" t="s">
        <v>719</v>
      </c>
      <c r="N145" s="21" t="s">
        <v>52</v>
      </c>
      <c r="O145" s="5" t="s">
        <v>64</v>
      </c>
      <c r="P145" s="53" t="s">
        <v>720</v>
      </c>
      <c r="Q145" s="12"/>
      <c r="R145" s="5"/>
      <c r="S145" s="5"/>
      <c r="T145" s="5" t="s">
        <v>39</v>
      </c>
      <c r="U145" s="16">
        <v>36343</v>
      </c>
      <c r="V145" s="5" t="s">
        <v>721</v>
      </c>
      <c r="W145" s="5" t="s">
        <v>40</v>
      </c>
      <c r="X145" s="6">
        <v>2021</v>
      </c>
      <c r="Y145" s="5"/>
    </row>
    <row r="146" spans="1:25" ht="15">
      <c r="A146" s="5" t="s">
        <v>722</v>
      </c>
      <c r="B146" s="5" t="s">
        <v>26</v>
      </c>
      <c r="C146" s="5" t="s">
        <v>27</v>
      </c>
      <c r="D146" s="5">
        <v>121</v>
      </c>
      <c r="E146" s="7" t="s">
        <v>77</v>
      </c>
      <c r="F146" s="5"/>
      <c r="G146" s="5" t="s">
        <v>363</v>
      </c>
      <c r="H146" s="5">
        <v>2</v>
      </c>
      <c r="I146" s="8">
        <v>45566</v>
      </c>
      <c r="J146" s="9">
        <v>47026</v>
      </c>
      <c r="K146" s="5" t="s">
        <v>29</v>
      </c>
      <c r="L146" s="5" t="s">
        <v>141</v>
      </c>
      <c r="M146" s="5" t="s">
        <v>723</v>
      </c>
      <c r="N146" s="5" t="s">
        <v>143</v>
      </c>
      <c r="O146" s="5"/>
      <c r="P146" s="44" t="s">
        <v>724</v>
      </c>
      <c r="Q146" s="12"/>
      <c r="R146" s="5"/>
      <c r="S146" s="5"/>
      <c r="T146" s="5" t="s">
        <v>39</v>
      </c>
      <c r="U146" s="8">
        <v>36502</v>
      </c>
      <c r="V146" s="5"/>
      <c r="W146" s="5"/>
      <c r="X146" s="5"/>
      <c r="Y146" s="5" t="s">
        <v>94</v>
      </c>
    </row>
    <row r="147" spans="1:25" ht="13.8">
      <c r="A147" s="28" t="s">
        <v>725</v>
      </c>
      <c r="B147" s="5" t="s">
        <v>26</v>
      </c>
      <c r="C147" s="5" t="s">
        <v>27</v>
      </c>
      <c r="D147" s="29">
        <v>122</v>
      </c>
      <c r="E147" s="30" t="s">
        <v>28</v>
      </c>
      <c r="F147" s="5"/>
      <c r="G147" s="13" t="s">
        <v>726</v>
      </c>
      <c r="H147" s="5">
        <v>3</v>
      </c>
      <c r="I147" s="8">
        <v>45200</v>
      </c>
      <c r="J147" s="8">
        <v>46660</v>
      </c>
      <c r="K147" s="5" t="s">
        <v>29</v>
      </c>
      <c r="L147" s="5" t="s">
        <v>35</v>
      </c>
      <c r="M147" s="13" t="s">
        <v>727</v>
      </c>
      <c r="N147" s="5" t="s">
        <v>85</v>
      </c>
      <c r="O147" s="5"/>
      <c r="P147" s="5" t="s">
        <v>728</v>
      </c>
      <c r="Q147" s="12"/>
      <c r="R147" s="5"/>
      <c r="S147" s="5"/>
      <c r="T147" s="31" t="s">
        <v>39</v>
      </c>
      <c r="U147" s="33">
        <v>32311</v>
      </c>
      <c r="V147" s="5"/>
      <c r="W147" s="5"/>
      <c r="X147" s="5"/>
      <c r="Y147" s="5" t="s">
        <v>31</v>
      </c>
    </row>
    <row r="148" spans="1:25" ht="13.8">
      <c r="A148" s="13" t="s">
        <v>729</v>
      </c>
      <c r="B148" s="5" t="s">
        <v>26</v>
      </c>
      <c r="C148" s="5" t="s">
        <v>27</v>
      </c>
      <c r="D148" s="6" t="s">
        <v>554</v>
      </c>
      <c r="E148" s="7"/>
      <c r="F148" s="5"/>
      <c r="G148" s="5"/>
      <c r="H148" s="5">
        <v>1</v>
      </c>
      <c r="I148" s="8">
        <v>45931</v>
      </c>
      <c r="J148" s="8">
        <v>47391</v>
      </c>
      <c r="K148" s="5" t="s">
        <v>29</v>
      </c>
      <c r="L148" s="5" t="s">
        <v>30</v>
      </c>
      <c r="M148" s="34" t="s">
        <v>730</v>
      </c>
      <c r="N148" s="5" t="s">
        <v>45</v>
      </c>
      <c r="O148" s="5"/>
      <c r="P148" s="35"/>
      <c r="Q148" s="12"/>
      <c r="R148" s="5"/>
      <c r="S148" s="5"/>
      <c r="T148" s="5"/>
      <c r="U148" s="5"/>
      <c r="V148" s="5"/>
      <c r="W148" s="5"/>
      <c r="X148" s="5"/>
      <c r="Y148" s="5"/>
    </row>
    <row r="149" spans="1:25" ht="13.8">
      <c r="A149" s="13" t="s">
        <v>731</v>
      </c>
      <c r="B149" s="5" t="s">
        <v>26</v>
      </c>
      <c r="C149" s="5" t="s">
        <v>27</v>
      </c>
      <c r="D149" s="5">
        <v>113</v>
      </c>
      <c r="E149" s="7" t="s">
        <v>203</v>
      </c>
      <c r="F149" s="5"/>
      <c r="G149" s="5" t="s">
        <v>732</v>
      </c>
      <c r="H149" s="5">
        <v>3</v>
      </c>
      <c r="I149" s="8">
        <v>45047</v>
      </c>
      <c r="J149" s="8">
        <v>46507</v>
      </c>
      <c r="K149" s="5" t="s">
        <v>29</v>
      </c>
      <c r="L149" s="5" t="s">
        <v>35</v>
      </c>
      <c r="M149" s="60" t="s">
        <v>733</v>
      </c>
      <c r="N149" s="12" t="s">
        <v>37</v>
      </c>
      <c r="O149" s="5"/>
      <c r="P149" s="74" t="s">
        <v>734</v>
      </c>
      <c r="Q149" s="12"/>
      <c r="R149" s="5"/>
      <c r="S149" s="5"/>
      <c r="T149" s="5" t="s">
        <v>39</v>
      </c>
      <c r="U149" s="16">
        <v>35110</v>
      </c>
      <c r="V149" s="5">
        <f>380508730633</f>
        <v>380508730633</v>
      </c>
      <c r="W149" s="5" t="s">
        <v>40</v>
      </c>
      <c r="X149" s="6">
        <v>2019</v>
      </c>
      <c r="Y149" s="5" t="s">
        <v>41</v>
      </c>
    </row>
    <row r="150" spans="1:25" ht="15">
      <c r="A150" s="5" t="s">
        <v>735</v>
      </c>
      <c r="B150" s="5" t="s">
        <v>26</v>
      </c>
      <c r="C150" s="5" t="s">
        <v>27</v>
      </c>
      <c r="D150" s="5">
        <v>171</v>
      </c>
      <c r="E150" s="7" t="s">
        <v>115</v>
      </c>
      <c r="F150" s="5"/>
      <c r="G150" s="5" t="s">
        <v>736</v>
      </c>
      <c r="H150" s="5">
        <v>2</v>
      </c>
      <c r="I150" s="8">
        <v>45566</v>
      </c>
      <c r="J150" s="9">
        <v>47026</v>
      </c>
      <c r="K150" s="5" t="s">
        <v>29</v>
      </c>
      <c r="L150" s="5" t="s">
        <v>141</v>
      </c>
      <c r="M150" s="66" t="s">
        <v>737</v>
      </c>
      <c r="N150" s="5" t="s">
        <v>143</v>
      </c>
      <c r="O150" s="5"/>
      <c r="P150" s="44" t="s">
        <v>738</v>
      </c>
      <c r="Q150" s="12"/>
      <c r="R150" s="5"/>
      <c r="S150" s="5"/>
      <c r="T150" s="5" t="s">
        <v>39</v>
      </c>
      <c r="U150" s="8">
        <v>36671</v>
      </c>
      <c r="V150" s="5"/>
      <c r="W150" s="5"/>
      <c r="X150" s="5"/>
      <c r="Y150" s="5" t="s">
        <v>160</v>
      </c>
    </row>
    <row r="151" spans="1:25" ht="13.8">
      <c r="A151" s="13" t="s">
        <v>739</v>
      </c>
      <c r="B151" s="5" t="s">
        <v>26</v>
      </c>
      <c r="C151" s="5" t="s">
        <v>27</v>
      </c>
      <c r="D151" s="5">
        <v>123</v>
      </c>
      <c r="E151" s="7" t="s">
        <v>80</v>
      </c>
      <c r="F151" s="5" t="s">
        <v>327</v>
      </c>
      <c r="G151" s="5" t="s">
        <v>740</v>
      </c>
      <c r="H151" s="5">
        <v>3</v>
      </c>
      <c r="I151" s="8">
        <v>45047</v>
      </c>
      <c r="J151" s="8">
        <v>46507</v>
      </c>
      <c r="K151" s="5" t="s">
        <v>29</v>
      </c>
      <c r="L151" s="5" t="s">
        <v>35</v>
      </c>
      <c r="M151" s="53" t="s">
        <v>741</v>
      </c>
      <c r="N151" s="12" t="s">
        <v>37</v>
      </c>
      <c r="O151" s="5" t="s">
        <v>64</v>
      </c>
      <c r="P151" s="72" t="s">
        <v>742</v>
      </c>
      <c r="Q151" s="12"/>
      <c r="R151" s="5"/>
      <c r="S151" s="5"/>
      <c r="T151" s="5" t="s">
        <v>39</v>
      </c>
      <c r="U151" s="16">
        <v>31202</v>
      </c>
      <c r="V151" s="5">
        <f>380684912815</f>
        <v>380684912815</v>
      </c>
      <c r="W151" s="5" t="s">
        <v>40</v>
      </c>
      <c r="X151" s="6">
        <v>2007</v>
      </c>
      <c r="Y151" s="5" t="s">
        <v>88</v>
      </c>
    </row>
    <row r="152" spans="1:25" ht="13.8">
      <c r="A152" s="13" t="s">
        <v>743</v>
      </c>
      <c r="B152" s="5" t="s">
        <v>26</v>
      </c>
      <c r="C152" s="5" t="s">
        <v>27</v>
      </c>
      <c r="D152" s="5">
        <v>123</v>
      </c>
      <c r="E152" s="7" t="s">
        <v>80</v>
      </c>
      <c r="F152" s="5" t="s">
        <v>327</v>
      </c>
      <c r="G152" s="5" t="s">
        <v>740</v>
      </c>
      <c r="H152" s="5">
        <v>3</v>
      </c>
      <c r="I152" s="8">
        <v>45047</v>
      </c>
      <c r="J152" s="8">
        <v>46507</v>
      </c>
      <c r="K152" s="5" t="s">
        <v>29</v>
      </c>
      <c r="L152" s="5" t="s">
        <v>35</v>
      </c>
      <c r="M152" s="13" t="s">
        <v>744</v>
      </c>
      <c r="N152" s="12" t="s">
        <v>37</v>
      </c>
      <c r="O152" s="5"/>
      <c r="P152" s="72" t="s">
        <v>745</v>
      </c>
      <c r="Q152" s="12"/>
      <c r="R152" s="5"/>
      <c r="S152" s="5"/>
      <c r="T152" s="5" t="s">
        <v>39</v>
      </c>
      <c r="U152" s="16">
        <v>32512</v>
      </c>
      <c r="V152" s="5">
        <f>380685468685</f>
        <v>380685468685</v>
      </c>
      <c r="W152" s="5" t="s">
        <v>40</v>
      </c>
      <c r="X152" s="6">
        <v>2019</v>
      </c>
      <c r="Y152" s="5" t="s">
        <v>88</v>
      </c>
    </row>
    <row r="153" spans="1:25" ht="27.6">
      <c r="A153" s="5" t="s">
        <v>746</v>
      </c>
      <c r="B153" s="5" t="s">
        <v>47</v>
      </c>
      <c r="C153" s="5" t="s">
        <v>27</v>
      </c>
      <c r="D153" s="5">
        <v>125</v>
      </c>
      <c r="E153" s="7" t="s">
        <v>104</v>
      </c>
      <c r="F153" s="5" t="s">
        <v>477</v>
      </c>
      <c r="G153" s="5" t="s">
        <v>747</v>
      </c>
      <c r="H153" s="6"/>
      <c r="I153" s="8">
        <v>44105</v>
      </c>
      <c r="J153" s="8">
        <v>45777</v>
      </c>
      <c r="K153" s="5" t="s">
        <v>508</v>
      </c>
      <c r="L153" s="5" t="s">
        <v>30</v>
      </c>
      <c r="M153" s="28" t="s">
        <v>748</v>
      </c>
      <c r="N153" s="5" t="s">
        <v>150</v>
      </c>
      <c r="O153" s="5" t="s">
        <v>151</v>
      </c>
      <c r="P153" s="53"/>
      <c r="Q153" s="12" t="s">
        <v>749</v>
      </c>
      <c r="R153" s="5"/>
      <c r="S153" s="5" t="s">
        <v>750</v>
      </c>
      <c r="T153" s="5" t="s">
        <v>39</v>
      </c>
      <c r="U153" s="36">
        <v>35045</v>
      </c>
      <c r="V153" s="5"/>
      <c r="W153" s="5"/>
      <c r="X153" s="5"/>
      <c r="Y153" s="5"/>
    </row>
    <row r="154" spans="1:25" ht="15">
      <c r="A154" s="5" t="s">
        <v>751</v>
      </c>
      <c r="B154" s="5" t="s">
        <v>26</v>
      </c>
      <c r="C154" s="5" t="s">
        <v>27</v>
      </c>
      <c r="D154" s="5">
        <v>122</v>
      </c>
      <c r="E154" s="7" t="s">
        <v>294</v>
      </c>
      <c r="F154" s="5" t="s">
        <v>311</v>
      </c>
      <c r="G154" s="5" t="s">
        <v>672</v>
      </c>
      <c r="H154" s="5">
        <v>2</v>
      </c>
      <c r="I154" s="8">
        <v>45566</v>
      </c>
      <c r="J154" s="9">
        <v>47026</v>
      </c>
      <c r="K154" s="5" t="s">
        <v>29</v>
      </c>
      <c r="L154" s="5" t="s">
        <v>141</v>
      </c>
      <c r="M154" s="5" t="s">
        <v>752</v>
      </c>
      <c r="N154" s="5" t="s">
        <v>143</v>
      </c>
      <c r="O154" s="5"/>
      <c r="P154" s="44" t="s">
        <v>753</v>
      </c>
      <c r="Q154" s="12"/>
      <c r="R154" s="5"/>
      <c r="S154" s="5"/>
      <c r="T154" s="5" t="s">
        <v>39</v>
      </c>
      <c r="U154" s="8">
        <v>37115</v>
      </c>
      <c r="V154" s="5"/>
      <c r="W154" s="5"/>
      <c r="X154" s="5"/>
      <c r="Y154" s="5" t="s">
        <v>299</v>
      </c>
    </row>
    <row r="155" spans="1:25" ht="13.8">
      <c r="A155" s="5" t="s">
        <v>754</v>
      </c>
      <c r="B155" s="5" t="s">
        <v>47</v>
      </c>
      <c r="C155" s="5" t="s">
        <v>27</v>
      </c>
      <c r="D155" s="5">
        <v>125</v>
      </c>
      <c r="E155" s="7" t="s">
        <v>104</v>
      </c>
      <c r="F155" s="5" t="s">
        <v>477</v>
      </c>
      <c r="G155" s="5" t="s">
        <v>755</v>
      </c>
      <c r="H155" s="5"/>
      <c r="I155" s="8">
        <v>43739</v>
      </c>
      <c r="J155" s="8">
        <v>45930</v>
      </c>
      <c r="K155" s="5" t="s">
        <v>29</v>
      </c>
      <c r="L155" s="5" t="s">
        <v>35</v>
      </c>
      <c r="M155" s="13" t="s">
        <v>756</v>
      </c>
      <c r="N155" s="37" t="s">
        <v>701</v>
      </c>
      <c r="O155" s="5"/>
      <c r="P155" s="53"/>
      <c r="Q155" s="12" t="s">
        <v>433</v>
      </c>
      <c r="R155" s="5" t="s">
        <v>757</v>
      </c>
      <c r="S155" s="5" t="s">
        <v>758</v>
      </c>
      <c r="T155" s="5" t="s">
        <v>39</v>
      </c>
      <c r="U155" s="8">
        <v>34802</v>
      </c>
      <c r="V155" s="5"/>
      <c r="W155" s="5"/>
      <c r="X155" s="5"/>
      <c r="Y155" s="5"/>
    </row>
    <row r="156" spans="1:25" ht="13.8">
      <c r="A156" s="28" t="s">
        <v>759</v>
      </c>
      <c r="B156" s="5" t="s">
        <v>26</v>
      </c>
      <c r="C156" s="5" t="s">
        <v>27</v>
      </c>
      <c r="D156" s="29">
        <v>172</v>
      </c>
      <c r="E156" s="67" t="s">
        <v>180</v>
      </c>
      <c r="F156" s="5" t="s">
        <v>181</v>
      </c>
      <c r="G156" s="75" t="s">
        <v>462</v>
      </c>
      <c r="H156" s="5">
        <v>3</v>
      </c>
      <c r="I156" s="9">
        <v>45200</v>
      </c>
      <c r="J156" s="9">
        <v>46660</v>
      </c>
      <c r="K156" s="5" t="s">
        <v>83</v>
      </c>
      <c r="L156" s="5" t="s">
        <v>35</v>
      </c>
      <c r="M156" s="74" t="s">
        <v>760</v>
      </c>
      <c r="N156" s="5" t="s">
        <v>761</v>
      </c>
      <c r="O156" s="5" t="s">
        <v>64</v>
      </c>
      <c r="P156" s="5" t="s">
        <v>762</v>
      </c>
      <c r="Q156" s="12"/>
      <c r="R156" s="5"/>
      <c r="S156" s="5"/>
      <c r="T156" s="5" t="s">
        <v>39</v>
      </c>
      <c r="U156" s="33">
        <v>25574</v>
      </c>
      <c r="V156" s="5"/>
      <c r="W156" s="5"/>
      <c r="X156" s="5"/>
      <c r="Y156" s="5"/>
    </row>
    <row r="157" spans="1:25" ht="24" customHeight="1">
      <c r="A157" s="5" t="s">
        <v>763</v>
      </c>
      <c r="B157" s="5" t="s">
        <v>26</v>
      </c>
      <c r="C157" s="5" t="s">
        <v>27</v>
      </c>
      <c r="D157" s="5">
        <v>122</v>
      </c>
      <c r="E157" s="30" t="s">
        <v>124</v>
      </c>
      <c r="F157" s="5" t="s">
        <v>125</v>
      </c>
      <c r="G157" s="5" t="s">
        <v>472</v>
      </c>
      <c r="H157" s="5">
        <v>2</v>
      </c>
      <c r="I157" s="8">
        <v>43891</v>
      </c>
      <c r="J157" s="8">
        <v>46811</v>
      </c>
      <c r="K157" s="5" t="s">
        <v>29</v>
      </c>
      <c r="L157" s="5" t="s">
        <v>35</v>
      </c>
      <c r="M157" s="13" t="s">
        <v>764</v>
      </c>
      <c r="N157" s="5" t="s">
        <v>652</v>
      </c>
      <c r="O157" s="5"/>
      <c r="P157" s="35"/>
      <c r="Q157" s="12"/>
      <c r="R157" s="5"/>
      <c r="S157" s="5"/>
      <c r="T157" s="5"/>
      <c r="U157" s="5"/>
      <c r="V157" s="5"/>
      <c r="W157" s="5"/>
      <c r="X157" s="5"/>
      <c r="Y157" s="5" t="s">
        <v>266</v>
      </c>
    </row>
    <row r="158" spans="1:25" ht="15">
      <c r="A158" s="5" t="s">
        <v>765</v>
      </c>
      <c r="B158" s="5" t="s">
        <v>26</v>
      </c>
      <c r="C158" s="5" t="s">
        <v>27</v>
      </c>
      <c r="D158" s="5">
        <v>122</v>
      </c>
      <c r="E158" s="7" t="s">
        <v>33</v>
      </c>
      <c r="F158" s="5"/>
      <c r="G158" s="5" t="s">
        <v>766</v>
      </c>
      <c r="H158" s="5">
        <v>2</v>
      </c>
      <c r="I158" s="8">
        <v>45566</v>
      </c>
      <c r="J158" s="9">
        <v>47026</v>
      </c>
      <c r="K158" s="5" t="s">
        <v>29</v>
      </c>
      <c r="L158" s="5" t="s">
        <v>141</v>
      </c>
      <c r="M158" s="66" t="s">
        <v>767</v>
      </c>
      <c r="N158" s="5" t="s">
        <v>143</v>
      </c>
      <c r="O158" s="5"/>
      <c r="P158" s="76" t="s">
        <v>768</v>
      </c>
      <c r="Q158" s="12"/>
      <c r="R158" s="5"/>
      <c r="S158" s="5"/>
      <c r="T158" s="5" t="s">
        <v>39</v>
      </c>
      <c r="U158" s="8">
        <v>35633</v>
      </c>
      <c r="V158" s="5"/>
      <c r="W158" s="5"/>
      <c r="X158" s="5"/>
      <c r="Y158" s="5" t="s">
        <v>41</v>
      </c>
    </row>
    <row r="159" spans="1:25" ht="13.8">
      <c r="A159" s="13" t="s">
        <v>769</v>
      </c>
      <c r="B159" s="5" t="s">
        <v>26</v>
      </c>
      <c r="C159" s="5" t="s">
        <v>27</v>
      </c>
      <c r="D159" s="5">
        <v>122</v>
      </c>
      <c r="E159" s="7" t="s">
        <v>294</v>
      </c>
      <c r="F159" s="5" t="s">
        <v>295</v>
      </c>
      <c r="G159" s="5" t="s">
        <v>672</v>
      </c>
      <c r="H159" s="5">
        <v>3</v>
      </c>
      <c r="I159" s="8">
        <v>45047</v>
      </c>
      <c r="J159" s="8">
        <v>46507</v>
      </c>
      <c r="K159" s="5" t="s">
        <v>29</v>
      </c>
      <c r="L159" s="5" t="s">
        <v>35</v>
      </c>
      <c r="M159" s="53" t="s">
        <v>770</v>
      </c>
      <c r="N159" s="12" t="s">
        <v>37</v>
      </c>
      <c r="O159" s="5"/>
      <c r="P159" s="72" t="s">
        <v>771</v>
      </c>
      <c r="Q159" s="12"/>
      <c r="R159" s="5"/>
      <c r="S159" s="5"/>
      <c r="T159" s="5" t="s">
        <v>39</v>
      </c>
      <c r="U159" s="16">
        <v>36703</v>
      </c>
      <c r="V159" s="5" t="s">
        <v>772</v>
      </c>
      <c r="W159" s="5" t="s">
        <v>40</v>
      </c>
      <c r="X159" s="6">
        <v>2022</v>
      </c>
      <c r="Y159" s="5" t="s">
        <v>299</v>
      </c>
    </row>
    <row r="160" spans="1:25" ht="13.8">
      <c r="A160" s="5" t="s">
        <v>773</v>
      </c>
      <c r="B160" s="5" t="s">
        <v>47</v>
      </c>
      <c r="C160" s="5" t="s">
        <v>27</v>
      </c>
      <c r="D160" s="5">
        <v>122</v>
      </c>
      <c r="E160" s="7" t="s">
        <v>33</v>
      </c>
      <c r="F160" s="5"/>
      <c r="G160" s="5" t="s">
        <v>774</v>
      </c>
      <c r="H160" s="5"/>
      <c r="I160" s="8">
        <v>44835</v>
      </c>
      <c r="J160" s="8">
        <v>45915</v>
      </c>
      <c r="K160" s="5" t="s">
        <v>29</v>
      </c>
      <c r="L160" s="5" t="s">
        <v>35</v>
      </c>
      <c r="M160" s="28" t="s">
        <v>775</v>
      </c>
      <c r="N160" s="21" t="s">
        <v>52</v>
      </c>
      <c r="O160" s="5" t="s">
        <v>776</v>
      </c>
      <c r="P160" s="53" t="s">
        <v>777</v>
      </c>
      <c r="Q160" s="12" t="s">
        <v>778</v>
      </c>
      <c r="R160" s="5" t="s">
        <v>492</v>
      </c>
      <c r="S160" s="5"/>
      <c r="T160" s="5" t="s">
        <v>39</v>
      </c>
      <c r="U160" s="16">
        <v>34823</v>
      </c>
      <c r="V160" s="5" t="s">
        <v>779</v>
      </c>
      <c r="W160" s="5" t="s">
        <v>780</v>
      </c>
      <c r="X160" s="6">
        <v>2019</v>
      </c>
      <c r="Y160" s="5"/>
    </row>
    <row r="161" spans="1:25" ht="13.8">
      <c r="A161" s="13" t="s">
        <v>781</v>
      </c>
      <c r="B161" s="5" t="s">
        <v>26</v>
      </c>
      <c r="C161" s="5" t="s">
        <v>27</v>
      </c>
      <c r="D161" s="29">
        <v>175</v>
      </c>
      <c r="E161" s="30" t="s">
        <v>146</v>
      </c>
      <c r="F161" s="5" t="s">
        <v>717</v>
      </c>
      <c r="G161" s="13" t="s">
        <v>782</v>
      </c>
      <c r="H161" s="5">
        <v>3</v>
      </c>
      <c r="I161" s="8">
        <v>45231</v>
      </c>
      <c r="J161" s="36">
        <v>46691</v>
      </c>
      <c r="K161" s="5" t="s">
        <v>29</v>
      </c>
      <c r="L161" s="5" t="s">
        <v>35</v>
      </c>
      <c r="M161" s="13" t="s">
        <v>783</v>
      </c>
      <c r="N161" s="37" t="s">
        <v>128</v>
      </c>
      <c r="O161" s="5"/>
      <c r="P161" s="5" t="s">
        <v>784</v>
      </c>
      <c r="Q161" s="12"/>
      <c r="R161" s="5"/>
      <c r="S161" s="5"/>
      <c r="T161" s="5" t="s">
        <v>39</v>
      </c>
      <c r="U161" s="32">
        <v>34636</v>
      </c>
      <c r="V161" s="5"/>
      <c r="W161" s="5"/>
      <c r="X161" s="5"/>
      <c r="Y161" s="5"/>
    </row>
    <row r="162" spans="1:25" ht="13.8">
      <c r="A162" s="5" t="s">
        <v>785</v>
      </c>
      <c r="B162" s="5" t="s">
        <v>47</v>
      </c>
      <c r="C162" s="5" t="s">
        <v>27</v>
      </c>
      <c r="D162" s="5">
        <v>172</v>
      </c>
      <c r="E162" s="7" t="s">
        <v>131</v>
      </c>
      <c r="F162" s="5" t="s">
        <v>238</v>
      </c>
      <c r="G162" s="5" t="s">
        <v>786</v>
      </c>
      <c r="H162" s="5"/>
      <c r="I162" s="8">
        <v>44835</v>
      </c>
      <c r="J162" s="8">
        <v>45930</v>
      </c>
      <c r="K162" s="5" t="s">
        <v>29</v>
      </c>
      <c r="L162" s="5" t="s">
        <v>35</v>
      </c>
      <c r="M162" s="60" t="s">
        <v>787</v>
      </c>
      <c r="N162" s="21" t="s">
        <v>52</v>
      </c>
      <c r="O162" s="5" t="s">
        <v>64</v>
      </c>
      <c r="P162" s="28" t="s">
        <v>788</v>
      </c>
      <c r="Q162" s="12" t="s">
        <v>789</v>
      </c>
      <c r="R162" s="5" t="s">
        <v>680</v>
      </c>
      <c r="S162" s="5"/>
      <c r="T162" s="5" t="s">
        <v>39</v>
      </c>
      <c r="U162" s="16">
        <v>35522</v>
      </c>
      <c r="V162" s="5" t="s">
        <v>790</v>
      </c>
      <c r="W162" s="5" t="s">
        <v>40</v>
      </c>
      <c r="X162" s="6">
        <v>2019</v>
      </c>
      <c r="Y162" s="5"/>
    </row>
    <row r="163" spans="1:25" ht="13.8">
      <c r="A163" s="13" t="s">
        <v>791</v>
      </c>
      <c r="B163" s="5" t="s">
        <v>26</v>
      </c>
      <c r="C163" s="5" t="s">
        <v>27</v>
      </c>
      <c r="D163" s="6" t="s">
        <v>103</v>
      </c>
      <c r="E163" s="7" t="s">
        <v>104</v>
      </c>
      <c r="F163" s="5"/>
      <c r="G163" s="5"/>
      <c r="H163" s="5">
        <v>1</v>
      </c>
      <c r="I163" s="8">
        <v>45931</v>
      </c>
      <c r="J163" s="8">
        <v>47391</v>
      </c>
      <c r="K163" s="5" t="s">
        <v>83</v>
      </c>
      <c r="L163" s="5" t="s">
        <v>35</v>
      </c>
      <c r="M163" s="34" t="s">
        <v>792</v>
      </c>
      <c r="N163" s="5" t="s">
        <v>793</v>
      </c>
      <c r="O163" s="5"/>
      <c r="P163" s="35"/>
      <c r="Q163" s="12"/>
      <c r="R163" s="5"/>
      <c r="S163" s="5"/>
      <c r="T163" s="5"/>
      <c r="U163" s="5"/>
      <c r="V163" s="5"/>
      <c r="W163" s="5"/>
      <c r="X163" s="5"/>
      <c r="Y163" s="5"/>
    </row>
    <row r="164" spans="1:25" ht="13.8">
      <c r="A164" s="13" t="s">
        <v>794</v>
      </c>
      <c r="B164" s="5" t="s">
        <v>26</v>
      </c>
      <c r="C164" s="5" t="s">
        <v>27</v>
      </c>
      <c r="D164" s="5">
        <v>175</v>
      </c>
      <c r="E164" s="7" t="s">
        <v>146</v>
      </c>
      <c r="F164" s="5" t="s">
        <v>378</v>
      </c>
      <c r="G164" s="5" t="s">
        <v>795</v>
      </c>
      <c r="H164" s="5">
        <v>3</v>
      </c>
      <c r="I164" s="8">
        <v>45047</v>
      </c>
      <c r="J164" s="8">
        <v>46507</v>
      </c>
      <c r="K164" s="5" t="s">
        <v>29</v>
      </c>
      <c r="L164" s="5" t="s">
        <v>35</v>
      </c>
      <c r="M164" s="60" t="s">
        <v>796</v>
      </c>
      <c r="N164" s="12" t="s">
        <v>37</v>
      </c>
      <c r="O164" s="5"/>
      <c r="P164" s="72" t="s">
        <v>797</v>
      </c>
      <c r="Q164" s="12"/>
      <c r="R164" s="5"/>
      <c r="S164" s="5"/>
      <c r="T164" s="5" t="s">
        <v>39</v>
      </c>
      <c r="U164" s="16">
        <v>30267</v>
      </c>
      <c r="V164" s="5">
        <f>380504021319</f>
        <v>380504021319</v>
      </c>
      <c r="W164" s="5" t="s">
        <v>798</v>
      </c>
      <c r="X164" s="6">
        <v>2004</v>
      </c>
      <c r="Y164" s="5"/>
    </row>
    <row r="165" spans="1:25" ht="15">
      <c r="A165" s="5" t="s">
        <v>799</v>
      </c>
      <c r="B165" s="5" t="s">
        <v>26</v>
      </c>
      <c r="C165" s="5" t="s">
        <v>27</v>
      </c>
      <c r="D165" s="5">
        <v>163</v>
      </c>
      <c r="E165" s="7" t="s">
        <v>90</v>
      </c>
      <c r="F165" s="5"/>
      <c r="G165" s="5" t="s">
        <v>800</v>
      </c>
      <c r="H165" s="5">
        <v>2</v>
      </c>
      <c r="I165" s="8">
        <v>45566</v>
      </c>
      <c r="J165" s="9">
        <v>47026</v>
      </c>
      <c r="K165" s="5" t="s">
        <v>29</v>
      </c>
      <c r="L165" s="5" t="s">
        <v>141</v>
      </c>
      <c r="M165" s="66" t="s">
        <v>801</v>
      </c>
      <c r="N165" s="5" t="s">
        <v>143</v>
      </c>
      <c r="O165" s="5"/>
      <c r="P165" s="44" t="s">
        <v>802</v>
      </c>
      <c r="Q165" s="12"/>
      <c r="R165" s="5"/>
      <c r="S165" s="5"/>
      <c r="T165" s="5" t="s">
        <v>39</v>
      </c>
      <c r="U165" s="36">
        <v>32458</v>
      </c>
      <c r="V165" s="5"/>
      <c r="W165" s="5"/>
      <c r="X165" s="5"/>
      <c r="Y165" s="5" t="s">
        <v>94</v>
      </c>
    </row>
    <row r="166" spans="1:25" ht="15">
      <c r="A166" s="5" t="s">
        <v>803</v>
      </c>
      <c r="B166" s="5" t="s">
        <v>26</v>
      </c>
      <c r="C166" s="5" t="s">
        <v>27</v>
      </c>
      <c r="D166" s="5">
        <v>126</v>
      </c>
      <c r="E166" s="7" t="s">
        <v>80</v>
      </c>
      <c r="F166" s="5" t="s">
        <v>81</v>
      </c>
      <c r="G166" s="5" t="s">
        <v>804</v>
      </c>
      <c r="H166" s="5">
        <v>2</v>
      </c>
      <c r="I166" s="8">
        <v>45566</v>
      </c>
      <c r="J166" s="9">
        <v>47026</v>
      </c>
      <c r="K166" s="5" t="s">
        <v>29</v>
      </c>
      <c r="L166" s="5" t="s">
        <v>141</v>
      </c>
      <c r="M166" s="5" t="s">
        <v>805</v>
      </c>
      <c r="N166" s="5" t="s">
        <v>143</v>
      </c>
      <c r="O166" s="5"/>
      <c r="P166" s="44" t="s">
        <v>806</v>
      </c>
      <c r="Q166" s="12"/>
      <c r="R166" s="5"/>
      <c r="S166" s="5"/>
      <c r="T166" s="5" t="s">
        <v>39</v>
      </c>
      <c r="U166" s="8">
        <v>32354</v>
      </c>
      <c r="V166" s="5"/>
      <c r="W166" s="5"/>
      <c r="X166" s="5"/>
      <c r="Y166" s="5" t="s">
        <v>88</v>
      </c>
    </row>
    <row r="167" spans="1:25" ht="13.8">
      <c r="A167" s="5" t="s">
        <v>807</v>
      </c>
      <c r="B167" s="5" t="s">
        <v>47</v>
      </c>
      <c r="C167" s="5" t="s">
        <v>27</v>
      </c>
      <c r="D167" s="5">
        <v>152</v>
      </c>
      <c r="E167" s="7" t="s">
        <v>146</v>
      </c>
      <c r="F167" s="5" t="s">
        <v>717</v>
      </c>
      <c r="G167" s="5" t="s">
        <v>808</v>
      </c>
      <c r="H167" s="5"/>
      <c r="I167" s="48">
        <v>44470</v>
      </c>
      <c r="J167" s="48">
        <v>45923</v>
      </c>
      <c r="K167" s="5" t="s">
        <v>29</v>
      </c>
      <c r="L167" s="5" t="s">
        <v>30</v>
      </c>
      <c r="M167" s="28" t="s">
        <v>809</v>
      </c>
      <c r="N167" s="12" t="s">
        <v>270</v>
      </c>
      <c r="O167" s="5" t="s">
        <v>271</v>
      </c>
      <c r="P167" s="53"/>
      <c r="Q167" s="12" t="s">
        <v>491</v>
      </c>
      <c r="R167" s="5" t="s">
        <v>492</v>
      </c>
      <c r="S167" s="5"/>
      <c r="T167" s="5" t="s">
        <v>57</v>
      </c>
      <c r="U167" s="48">
        <v>31900</v>
      </c>
      <c r="V167" s="5"/>
      <c r="W167" s="5"/>
      <c r="X167" s="5"/>
      <c r="Y167" s="5"/>
    </row>
    <row r="168" spans="1:25" ht="13.8">
      <c r="A168" s="13" t="s">
        <v>810</v>
      </c>
      <c r="B168" s="5" t="s">
        <v>26</v>
      </c>
      <c r="C168" s="5" t="s">
        <v>27</v>
      </c>
      <c r="D168" s="6" t="s">
        <v>388</v>
      </c>
      <c r="E168" s="7" t="s">
        <v>203</v>
      </c>
      <c r="F168" s="5"/>
      <c r="G168" s="5"/>
      <c r="H168" s="5">
        <v>1</v>
      </c>
      <c r="I168" s="8">
        <v>45931</v>
      </c>
      <c r="J168" s="8">
        <v>47391</v>
      </c>
      <c r="K168" s="5" t="s">
        <v>29</v>
      </c>
      <c r="L168" s="5" t="s">
        <v>30</v>
      </c>
      <c r="M168" s="34" t="s">
        <v>811</v>
      </c>
      <c r="N168" s="5" t="s">
        <v>45</v>
      </c>
      <c r="O168" s="5"/>
      <c r="P168" s="35"/>
      <c r="Q168" s="12"/>
      <c r="R168" s="5"/>
      <c r="S168" s="5"/>
      <c r="T168" s="5"/>
      <c r="U168" s="5"/>
      <c r="V168" s="5"/>
      <c r="W168" s="5"/>
      <c r="X168" s="5"/>
      <c r="Y168" s="5"/>
    </row>
    <row r="169" spans="1:25" ht="13.8">
      <c r="A169" s="13" t="s">
        <v>812</v>
      </c>
      <c r="B169" s="5" t="s">
        <v>26</v>
      </c>
      <c r="C169" s="5" t="s">
        <v>27</v>
      </c>
      <c r="D169" s="5">
        <v>174</v>
      </c>
      <c r="E169" s="7" t="s">
        <v>138</v>
      </c>
      <c r="F169" s="5" t="s">
        <v>557</v>
      </c>
      <c r="G169" s="5" t="s">
        <v>813</v>
      </c>
      <c r="H169" s="5">
        <v>3</v>
      </c>
      <c r="I169" s="8">
        <v>45047</v>
      </c>
      <c r="J169" s="8">
        <v>46507</v>
      </c>
      <c r="K169" s="5" t="s">
        <v>29</v>
      </c>
      <c r="L169" s="5" t="s">
        <v>35</v>
      </c>
      <c r="M169" s="60" t="s">
        <v>814</v>
      </c>
      <c r="N169" s="12" t="s">
        <v>37</v>
      </c>
      <c r="O169" s="5"/>
      <c r="P169" s="72" t="s">
        <v>815</v>
      </c>
      <c r="Q169" s="12"/>
      <c r="R169" s="5"/>
      <c r="S169" s="5" t="s">
        <v>275</v>
      </c>
      <c r="T169" s="5" t="s">
        <v>39</v>
      </c>
      <c r="U169" s="16">
        <v>34011</v>
      </c>
      <c r="V169" s="5">
        <v>980701227</v>
      </c>
      <c r="W169" s="5" t="s">
        <v>416</v>
      </c>
      <c r="X169" s="6">
        <v>2016</v>
      </c>
      <c r="Y169" s="5"/>
    </row>
    <row r="170" spans="1:25" ht="21.75" customHeight="1">
      <c r="A170" s="5" t="s">
        <v>816</v>
      </c>
      <c r="B170" s="5" t="s">
        <v>26</v>
      </c>
      <c r="C170" s="5" t="s">
        <v>27</v>
      </c>
      <c r="D170" s="5">
        <v>122</v>
      </c>
      <c r="E170" s="30" t="s">
        <v>124</v>
      </c>
      <c r="F170" s="5" t="s">
        <v>125</v>
      </c>
      <c r="G170" s="5" t="s">
        <v>817</v>
      </c>
      <c r="H170" s="5">
        <v>2</v>
      </c>
      <c r="I170" s="8">
        <v>45566</v>
      </c>
      <c r="J170" s="9">
        <v>47026</v>
      </c>
      <c r="K170" s="5" t="s">
        <v>29</v>
      </c>
      <c r="L170" s="5" t="s">
        <v>141</v>
      </c>
      <c r="M170" s="5" t="s">
        <v>818</v>
      </c>
      <c r="N170" s="5" t="s">
        <v>143</v>
      </c>
      <c r="O170" s="5"/>
      <c r="P170" s="44" t="s">
        <v>819</v>
      </c>
      <c r="Q170" s="12"/>
      <c r="R170" s="5"/>
      <c r="S170" s="5"/>
      <c r="T170" s="5" t="s">
        <v>39</v>
      </c>
      <c r="U170" s="8">
        <v>35903</v>
      </c>
      <c r="V170" s="5"/>
      <c r="W170" s="5"/>
      <c r="X170" s="5"/>
      <c r="Y170" s="5" t="s">
        <v>266</v>
      </c>
    </row>
    <row r="171" spans="1:25" ht="13.8">
      <c r="A171" s="5" t="s">
        <v>820</v>
      </c>
      <c r="B171" s="5" t="s">
        <v>26</v>
      </c>
      <c r="C171" s="5" t="s">
        <v>27</v>
      </c>
      <c r="D171" s="5">
        <v>152</v>
      </c>
      <c r="E171" s="7" t="s">
        <v>146</v>
      </c>
      <c r="F171" s="5" t="s">
        <v>717</v>
      </c>
      <c r="G171" s="5" t="s">
        <v>718</v>
      </c>
      <c r="H171" s="5">
        <v>4</v>
      </c>
      <c r="I171" s="8">
        <v>44835</v>
      </c>
      <c r="J171" s="8">
        <v>46295</v>
      </c>
      <c r="K171" s="5" t="s">
        <v>29</v>
      </c>
      <c r="L171" s="5" t="s">
        <v>50</v>
      </c>
      <c r="M171" s="28" t="s">
        <v>821</v>
      </c>
      <c r="N171" s="21" t="s">
        <v>52</v>
      </c>
      <c r="O171" s="5" t="s">
        <v>64</v>
      </c>
      <c r="P171" s="53" t="s">
        <v>822</v>
      </c>
      <c r="Q171" s="12"/>
      <c r="R171" s="5"/>
      <c r="S171" s="5"/>
      <c r="T171" s="5" t="s">
        <v>39</v>
      </c>
      <c r="U171" s="16">
        <v>33953</v>
      </c>
      <c r="V171" s="5" t="s">
        <v>823</v>
      </c>
      <c r="W171" s="5" t="s">
        <v>40</v>
      </c>
      <c r="X171" s="6">
        <v>2016</v>
      </c>
      <c r="Y171" s="5"/>
    </row>
    <row r="172" spans="1:25" ht="13.8">
      <c r="A172" s="28" t="s">
        <v>824</v>
      </c>
      <c r="B172" s="5" t="s">
        <v>26</v>
      </c>
      <c r="C172" s="5" t="s">
        <v>27</v>
      </c>
      <c r="D172" s="29">
        <v>105</v>
      </c>
      <c r="E172" s="30" t="s">
        <v>216</v>
      </c>
      <c r="F172" s="5"/>
      <c r="G172" s="13" t="s">
        <v>825</v>
      </c>
      <c r="H172" s="5">
        <v>3</v>
      </c>
      <c r="I172" s="8">
        <v>45200</v>
      </c>
      <c r="J172" s="8">
        <v>46660</v>
      </c>
      <c r="K172" s="5" t="s">
        <v>29</v>
      </c>
      <c r="L172" s="5" t="s">
        <v>35</v>
      </c>
      <c r="M172" s="13" t="s">
        <v>826</v>
      </c>
      <c r="N172" s="5" t="s">
        <v>85</v>
      </c>
      <c r="O172" s="5"/>
      <c r="P172" s="5" t="s">
        <v>827</v>
      </c>
      <c r="Q172" s="12"/>
      <c r="R172" s="5"/>
      <c r="S172" s="5" t="s">
        <v>361</v>
      </c>
      <c r="T172" s="31" t="s">
        <v>39</v>
      </c>
      <c r="U172" s="33">
        <v>28656</v>
      </c>
      <c r="V172" s="5"/>
      <c r="W172" s="5"/>
      <c r="X172" s="5"/>
      <c r="Y172" s="5" t="s">
        <v>220</v>
      </c>
    </row>
    <row r="173" spans="1:25" ht="13.8">
      <c r="A173" s="13" t="s">
        <v>828</v>
      </c>
      <c r="B173" s="5" t="s">
        <v>26</v>
      </c>
      <c r="C173" s="5" t="s">
        <v>27</v>
      </c>
      <c r="D173" s="5">
        <v>123</v>
      </c>
      <c r="E173" s="7" t="s">
        <v>80</v>
      </c>
      <c r="F173" s="5" t="s">
        <v>327</v>
      </c>
      <c r="G173" s="5" t="s">
        <v>829</v>
      </c>
      <c r="H173" s="5">
        <v>3</v>
      </c>
      <c r="I173" s="8">
        <v>45047</v>
      </c>
      <c r="J173" s="8">
        <v>46507</v>
      </c>
      <c r="K173" s="5" t="s">
        <v>29</v>
      </c>
      <c r="L173" s="5" t="s">
        <v>35</v>
      </c>
      <c r="M173" s="53" t="s">
        <v>830</v>
      </c>
      <c r="N173" s="12" t="s">
        <v>37</v>
      </c>
      <c r="O173" s="5"/>
      <c r="P173" s="72" t="s">
        <v>831</v>
      </c>
      <c r="Q173" s="12"/>
      <c r="R173" s="5"/>
      <c r="S173" s="5" t="s">
        <v>832</v>
      </c>
      <c r="T173" s="5" t="s">
        <v>39</v>
      </c>
      <c r="U173" s="16">
        <v>36591</v>
      </c>
      <c r="V173" s="5">
        <v>380972629497</v>
      </c>
      <c r="W173" s="5" t="s">
        <v>40</v>
      </c>
      <c r="X173" s="6">
        <v>2022</v>
      </c>
      <c r="Y173" s="5" t="s">
        <v>88</v>
      </c>
    </row>
    <row r="174" spans="1:25" ht="13.8">
      <c r="A174" s="5" t="s">
        <v>833</v>
      </c>
      <c r="B174" s="5" t="s">
        <v>26</v>
      </c>
      <c r="C174" s="5" t="s">
        <v>27</v>
      </c>
      <c r="D174" s="5">
        <v>123</v>
      </c>
      <c r="E174" s="7" t="s">
        <v>249</v>
      </c>
      <c r="F174" s="5" t="s">
        <v>250</v>
      </c>
      <c r="G174" s="5" t="s">
        <v>834</v>
      </c>
      <c r="H174" s="5">
        <v>4</v>
      </c>
      <c r="I174" s="8">
        <v>44835</v>
      </c>
      <c r="J174" s="8">
        <v>46295</v>
      </c>
      <c r="K174" s="5" t="s">
        <v>29</v>
      </c>
      <c r="L174" s="5" t="s">
        <v>35</v>
      </c>
      <c r="M174" s="28" t="s">
        <v>835</v>
      </c>
      <c r="N174" s="21" t="s">
        <v>52</v>
      </c>
      <c r="O174" s="5" t="s">
        <v>64</v>
      </c>
      <c r="P174" s="53" t="s">
        <v>836</v>
      </c>
      <c r="Q174" s="12"/>
      <c r="R174" s="5"/>
      <c r="S174" s="5"/>
      <c r="T174" s="5" t="s">
        <v>39</v>
      </c>
      <c r="U174" s="16">
        <v>29554</v>
      </c>
      <c r="V174" s="5" t="s">
        <v>837</v>
      </c>
      <c r="W174" s="5" t="s">
        <v>40</v>
      </c>
      <c r="X174" s="6">
        <v>2003</v>
      </c>
      <c r="Y174" s="5" t="s">
        <v>299</v>
      </c>
    </row>
    <row r="175" spans="1:25" ht="13.8">
      <c r="A175" s="5" t="s">
        <v>838</v>
      </c>
      <c r="B175" s="5" t="s">
        <v>26</v>
      </c>
      <c r="C175" s="5" t="s">
        <v>27</v>
      </c>
      <c r="D175" s="5">
        <v>152</v>
      </c>
      <c r="E175" s="7" t="s">
        <v>146</v>
      </c>
      <c r="F175" s="5" t="s">
        <v>717</v>
      </c>
      <c r="G175" s="5" t="s">
        <v>379</v>
      </c>
      <c r="H175" s="5">
        <v>4</v>
      </c>
      <c r="I175" s="8">
        <v>44835</v>
      </c>
      <c r="J175" s="8">
        <v>46295</v>
      </c>
      <c r="K175" s="5" t="s">
        <v>29</v>
      </c>
      <c r="L175" s="5" t="s">
        <v>50</v>
      </c>
      <c r="M175" s="28" t="s">
        <v>839</v>
      </c>
      <c r="N175" s="21" t="s">
        <v>52</v>
      </c>
      <c r="O175" s="5" t="s">
        <v>64</v>
      </c>
      <c r="P175" s="53" t="s">
        <v>840</v>
      </c>
      <c r="Q175" s="12"/>
      <c r="R175" s="5"/>
      <c r="S175" s="5" t="s">
        <v>841</v>
      </c>
      <c r="T175" s="5" t="s">
        <v>39</v>
      </c>
      <c r="U175" s="16">
        <v>32049</v>
      </c>
      <c r="V175" s="5" t="s">
        <v>842</v>
      </c>
      <c r="W175" s="5" t="s">
        <v>40</v>
      </c>
      <c r="X175" s="6">
        <v>2010</v>
      </c>
      <c r="Y175" s="5"/>
    </row>
    <row r="176" spans="1:25" ht="21" customHeight="1">
      <c r="A176" s="13" t="s">
        <v>843</v>
      </c>
      <c r="B176" s="5" t="s">
        <v>26</v>
      </c>
      <c r="C176" s="5" t="s">
        <v>27</v>
      </c>
      <c r="D176" s="29">
        <v>51</v>
      </c>
      <c r="E176" s="30" t="s">
        <v>192</v>
      </c>
      <c r="F176" s="5" t="s">
        <v>193</v>
      </c>
      <c r="G176" s="13" t="s">
        <v>412</v>
      </c>
      <c r="H176" s="5">
        <v>2</v>
      </c>
      <c r="I176" s="8">
        <v>45231</v>
      </c>
      <c r="J176" s="36">
        <v>46691</v>
      </c>
      <c r="K176" s="5" t="s">
        <v>29</v>
      </c>
      <c r="L176" s="5" t="s">
        <v>35</v>
      </c>
      <c r="M176" s="77" t="s">
        <v>844</v>
      </c>
      <c r="N176" s="37" t="s">
        <v>128</v>
      </c>
      <c r="O176" s="5"/>
      <c r="P176" s="5" t="s">
        <v>845</v>
      </c>
      <c r="Q176" s="12"/>
      <c r="R176" s="5"/>
      <c r="S176" s="5"/>
      <c r="T176" s="5" t="s">
        <v>39</v>
      </c>
      <c r="U176" s="33">
        <v>32544</v>
      </c>
      <c r="V176" s="5"/>
      <c r="W176" s="5"/>
      <c r="X176" s="5"/>
      <c r="Y176" s="5" t="s">
        <v>41</v>
      </c>
    </row>
    <row r="177" spans="1:25" ht="13.8">
      <c r="A177" s="28" t="s">
        <v>846</v>
      </c>
      <c r="B177" s="5" t="s">
        <v>26</v>
      </c>
      <c r="C177" s="5" t="s">
        <v>27</v>
      </c>
      <c r="D177" s="29">
        <v>172</v>
      </c>
      <c r="E177" s="30" t="s">
        <v>278</v>
      </c>
      <c r="F177" s="5"/>
      <c r="G177" s="13" t="s">
        <v>847</v>
      </c>
      <c r="H177" s="5">
        <v>3</v>
      </c>
      <c r="I177" s="8">
        <v>45200</v>
      </c>
      <c r="J177" s="8">
        <v>46660</v>
      </c>
      <c r="K177" s="5" t="s">
        <v>29</v>
      </c>
      <c r="L177" s="5" t="s">
        <v>35</v>
      </c>
      <c r="M177" s="60" t="s">
        <v>848</v>
      </c>
      <c r="N177" s="5" t="s">
        <v>85</v>
      </c>
      <c r="O177" s="5"/>
      <c r="P177" s="5" t="s">
        <v>849</v>
      </c>
      <c r="Q177" s="12"/>
      <c r="R177" s="5"/>
      <c r="S177" s="5"/>
      <c r="T177" s="31" t="s">
        <v>39</v>
      </c>
      <c r="U177" s="33">
        <v>33848</v>
      </c>
      <c r="V177" s="5"/>
      <c r="W177" s="5"/>
      <c r="X177" s="5"/>
      <c r="Y177" s="5" t="s">
        <v>266</v>
      </c>
    </row>
    <row r="178" spans="1:25" ht="13.8">
      <c r="A178" s="13" t="s">
        <v>850</v>
      </c>
      <c r="B178" s="5" t="s">
        <v>26</v>
      </c>
      <c r="C178" s="5" t="s">
        <v>27</v>
      </c>
      <c r="D178" s="29">
        <v>121</v>
      </c>
      <c r="E178" s="30" t="s">
        <v>77</v>
      </c>
      <c r="F178" s="5"/>
      <c r="G178" s="5" t="s">
        <v>851</v>
      </c>
      <c r="H178" s="5">
        <v>2</v>
      </c>
      <c r="I178" s="8">
        <v>45231</v>
      </c>
      <c r="J178" s="36">
        <v>46691</v>
      </c>
      <c r="K178" s="5" t="s">
        <v>29</v>
      </c>
      <c r="L178" s="5" t="s">
        <v>35</v>
      </c>
      <c r="M178" s="13" t="s">
        <v>852</v>
      </c>
      <c r="N178" s="37" t="s">
        <v>128</v>
      </c>
      <c r="O178" s="5"/>
      <c r="P178" s="5" t="s">
        <v>853</v>
      </c>
      <c r="Q178" s="12"/>
      <c r="R178" s="5"/>
      <c r="S178" s="5"/>
      <c r="T178" s="37" t="s">
        <v>39</v>
      </c>
      <c r="U178" s="33">
        <v>31063</v>
      </c>
      <c r="V178" s="5"/>
      <c r="W178" s="5"/>
      <c r="X178" s="5"/>
      <c r="Y178" s="5" t="s">
        <v>94</v>
      </c>
    </row>
    <row r="179" spans="1:25" ht="13.8">
      <c r="A179" s="13" t="s">
        <v>854</v>
      </c>
      <c r="B179" s="5" t="s">
        <v>26</v>
      </c>
      <c r="C179" s="5" t="s">
        <v>27</v>
      </c>
      <c r="D179" s="29">
        <v>51</v>
      </c>
      <c r="E179" s="30" t="s">
        <v>192</v>
      </c>
      <c r="F179" s="5" t="s">
        <v>193</v>
      </c>
      <c r="G179" s="13" t="s">
        <v>412</v>
      </c>
      <c r="H179" s="5">
        <v>2</v>
      </c>
      <c r="I179" s="8">
        <v>45231</v>
      </c>
      <c r="J179" s="36">
        <v>46691</v>
      </c>
      <c r="K179" s="5" t="s">
        <v>29</v>
      </c>
      <c r="L179" s="5" t="s">
        <v>35</v>
      </c>
      <c r="M179" s="77" t="s">
        <v>855</v>
      </c>
      <c r="N179" s="37" t="s">
        <v>128</v>
      </c>
      <c r="O179" s="5"/>
      <c r="P179" s="5" t="s">
        <v>856</v>
      </c>
      <c r="Q179" s="12"/>
      <c r="R179" s="5"/>
      <c r="S179" s="5"/>
      <c r="T179" s="5" t="s">
        <v>39</v>
      </c>
      <c r="U179" s="33">
        <v>27456</v>
      </c>
      <c r="V179" s="5"/>
      <c r="W179" s="5"/>
      <c r="X179" s="5"/>
      <c r="Y179" s="5" t="s">
        <v>41</v>
      </c>
    </row>
    <row r="180" spans="1:25" ht="13.8">
      <c r="A180" s="13" t="s">
        <v>857</v>
      </c>
      <c r="B180" s="5" t="s">
        <v>26</v>
      </c>
      <c r="C180" s="5" t="s">
        <v>27</v>
      </c>
      <c r="D180" s="6" t="s">
        <v>114</v>
      </c>
      <c r="E180" s="7" t="s">
        <v>131</v>
      </c>
      <c r="F180" s="5"/>
      <c r="G180" s="5"/>
      <c r="H180" s="5">
        <v>1</v>
      </c>
      <c r="I180" s="8">
        <v>45931</v>
      </c>
      <c r="J180" s="8">
        <v>47391</v>
      </c>
      <c r="K180" s="5" t="s">
        <v>29</v>
      </c>
      <c r="L180" s="5" t="s">
        <v>30</v>
      </c>
      <c r="M180" s="34" t="s">
        <v>858</v>
      </c>
      <c r="N180" s="5" t="s">
        <v>45</v>
      </c>
      <c r="O180" s="5"/>
      <c r="P180" s="35"/>
      <c r="Q180" s="12"/>
      <c r="R180" s="5"/>
      <c r="S180" s="5"/>
      <c r="T180" s="5"/>
      <c r="U180" s="5"/>
      <c r="V180" s="5"/>
      <c r="W180" s="5"/>
      <c r="X180" s="5"/>
      <c r="Y180" s="5"/>
    </row>
    <row r="181" spans="1:25" ht="15">
      <c r="A181" s="5" t="s">
        <v>859</v>
      </c>
      <c r="B181" s="5" t="s">
        <v>26</v>
      </c>
      <c r="C181" s="5" t="s">
        <v>27</v>
      </c>
      <c r="D181" s="5">
        <v>125</v>
      </c>
      <c r="E181" s="7" t="s">
        <v>104</v>
      </c>
      <c r="F181" s="5" t="s">
        <v>477</v>
      </c>
      <c r="G181" s="5" t="s">
        <v>860</v>
      </c>
      <c r="H181" s="5">
        <v>2</v>
      </c>
      <c r="I181" s="8">
        <v>45566</v>
      </c>
      <c r="J181" s="9">
        <v>47026</v>
      </c>
      <c r="K181" s="5" t="s">
        <v>83</v>
      </c>
      <c r="L181" s="5" t="s">
        <v>35</v>
      </c>
      <c r="M181" s="5" t="s">
        <v>861</v>
      </c>
      <c r="N181" s="5"/>
      <c r="O181" s="5"/>
      <c r="P181" s="44" t="s">
        <v>862</v>
      </c>
      <c r="Q181" s="12"/>
      <c r="R181" s="5"/>
      <c r="S181" s="5"/>
      <c r="T181" s="5" t="s">
        <v>39</v>
      </c>
      <c r="U181" s="8">
        <v>36784</v>
      </c>
      <c r="V181" s="5"/>
      <c r="W181" s="5"/>
      <c r="X181" s="5"/>
      <c r="Y181" s="5" t="s">
        <v>106</v>
      </c>
    </row>
    <row r="182" spans="1:25" ht="13.8">
      <c r="A182" s="13" t="s">
        <v>863</v>
      </c>
      <c r="B182" s="5" t="s">
        <v>26</v>
      </c>
      <c r="C182" s="5" t="s">
        <v>27</v>
      </c>
      <c r="D182" s="6" t="s">
        <v>114</v>
      </c>
      <c r="E182" s="7" t="s">
        <v>115</v>
      </c>
      <c r="F182" s="5"/>
      <c r="G182" s="5"/>
      <c r="H182" s="5">
        <v>1</v>
      </c>
      <c r="I182" s="8">
        <v>45931</v>
      </c>
      <c r="J182" s="8">
        <v>47391</v>
      </c>
      <c r="K182" s="5" t="s">
        <v>29</v>
      </c>
      <c r="L182" s="5" t="s">
        <v>30</v>
      </c>
      <c r="M182" s="34" t="s">
        <v>864</v>
      </c>
      <c r="N182" s="5" t="s">
        <v>45</v>
      </c>
      <c r="O182" s="5"/>
      <c r="P182" s="35"/>
      <c r="Q182" s="12"/>
      <c r="R182" s="5"/>
      <c r="S182" s="5"/>
      <c r="T182" s="5"/>
      <c r="U182" s="5"/>
      <c r="V182" s="5"/>
      <c r="W182" s="5"/>
      <c r="X182" s="5"/>
      <c r="Y182" s="5"/>
    </row>
    <row r="183" spans="1:25" ht="21.75" customHeight="1">
      <c r="A183" s="5" t="s">
        <v>865</v>
      </c>
      <c r="B183" s="5" t="s">
        <v>26</v>
      </c>
      <c r="C183" s="5" t="s">
        <v>27</v>
      </c>
      <c r="D183" s="5">
        <v>125</v>
      </c>
      <c r="E183" s="7" t="s">
        <v>104</v>
      </c>
      <c r="F183" s="5" t="s">
        <v>477</v>
      </c>
      <c r="G183" s="5" t="s">
        <v>860</v>
      </c>
      <c r="H183" s="5">
        <v>2</v>
      </c>
      <c r="I183" s="8">
        <v>45566</v>
      </c>
      <c r="J183" s="9">
        <v>47026</v>
      </c>
      <c r="K183" s="5" t="s">
        <v>29</v>
      </c>
      <c r="L183" s="5" t="s">
        <v>141</v>
      </c>
      <c r="M183" s="5" t="s">
        <v>866</v>
      </c>
      <c r="N183" s="5" t="s">
        <v>143</v>
      </c>
      <c r="O183" s="5"/>
      <c r="P183" s="44" t="s">
        <v>867</v>
      </c>
      <c r="Q183" s="12"/>
      <c r="R183" s="5"/>
      <c r="S183" s="5"/>
      <c r="T183" s="5" t="s">
        <v>39</v>
      </c>
      <c r="U183" s="36">
        <v>36812</v>
      </c>
      <c r="V183" s="5"/>
      <c r="W183" s="5"/>
      <c r="X183" s="5"/>
      <c r="Y183" s="5" t="s">
        <v>106</v>
      </c>
    </row>
    <row r="184" spans="1:25" ht="21.75" customHeight="1">
      <c r="A184" s="13" t="s">
        <v>868</v>
      </c>
      <c r="B184" s="5" t="s">
        <v>26</v>
      </c>
      <c r="C184" s="5" t="s">
        <v>27</v>
      </c>
      <c r="D184" s="6" t="s">
        <v>554</v>
      </c>
      <c r="E184" s="7"/>
      <c r="F184" s="5"/>
      <c r="G184" s="5"/>
      <c r="H184" s="5">
        <v>1</v>
      </c>
      <c r="I184" s="8">
        <v>45931</v>
      </c>
      <c r="J184" s="8">
        <v>47391</v>
      </c>
      <c r="K184" s="5" t="s">
        <v>29</v>
      </c>
      <c r="L184" s="5" t="s">
        <v>30</v>
      </c>
      <c r="M184" s="34" t="s">
        <v>869</v>
      </c>
      <c r="N184" s="5" t="s">
        <v>45</v>
      </c>
      <c r="O184" s="5"/>
      <c r="P184" s="35"/>
      <c r="Q184" s="12"/>
      <c r="R184" s="5"/>
      <c r="S184" s="5"/>
      <c r="T184" s="5"/>
      <c r="U184" s="5"/>
      <c r="V184" s="5"/>
      <c r="W184" s="5"/>
      <c r="X184" s="5"/>
      <c r="Y184" s="5"/>
    </row>
    <row r="185" spans="1:25" ht="16.5" customHeight="1">
      <c r="A185" s="28" t="s">
        <v>870</v>
      </c>
      <c r="B185" s="5" t="s">
        <v>26</v>
      </c>
      <c r="C185" s="5" t="s">
        <v>27</v>
      </c>
      <c r="D185" s="29">
        <v>121</v>
      </c>
      <c r="E185" s="30" t="s">
        <v>77</v>
      </c>
      <c r="F185" s="5"/>
      <c r="G185" s="13" t="s">
        <v>871</v>
      </c>
      <c r="H185" s="5">
        <v>3</v>
      </c>
      <c r="I185" s="8">
        <v>45200</v>
      </c>
      <c r="J185" s="8">
        <v>46660</v>
      </c>
      <c r="K185" s="5" t="s">
        <v>29</v>
      </c>
      <c r="L185" s="5" t="s">
        <v>35</v>
      </c>
      <c r="M185" s="13" t="s">
        <v>872</v>
      </c>
      <c r="N185" s="5" t="s">
        <v>85</v>
      </c>
      <c r="O185" s="5"/>
      <c r="P185" s="5" t="s">
        <v>873</v>
      </c>
      <c r="Q185" s="12"/>
      <c r="R185" s="5"/>
      <c r="S185" s="5"/>
      <c r="T185" s="31" t="s">
        <v>39</v>
      </c>
      <c r="U185" s="33">
        <v>36067</v>
      </c>
      <c r="V185" s="5"/>
      <c r="W185" s="5"/>
      <c r="X185" s="5"/>
      <c r="Y185" s="5" t="s">
        <v>94</v>
      </c>
    </row>
    <row r="186" spans="1:25" ht="15">
      <c r="A186" s="5" t="s">
        <v>874</v>
      </c>
      <c r="B186" s="5" t="s">
        <v>26</v>
      </c>
      <c r="C186" s="5" t="s">
        <v>27</v>
      </c>
      <c r="D186" s="5">
        <v>105</v>
      </c>
      <c r="E186" s="7" t="s">
        <v>216</v>
      </c>
      <c r="F186" s="5"/>
      <c r="G186" s="5" t="s">
        <v>217</v>
      </c>
      <c r="H186" s="5">
        <v>2</v>
      </c>
      <c r="I186" s="8">
        <v>45566</v>
      </c>
      <c r="J186" s="9">
        <v>47026</v>
      </c>
      <c r="K186" s="5" t="s">
        <v>29</v>
      </c>
      <c r="L186" s="5" t="s">
        <v>141</v>
      </c>
      <c r="M186" s="5" t="s">
        <v>875</v>
      </c>
      <c r="N186" s="5" t="s">
        <v>143</v>
      </c>
      <c r="O186" s="5"/>
      <c r="P186" s="44" t="s">
        <v>876</v>
      </c>
      <c r="Q186" s="12"/>
      <c r="R186" s="5"/>
      <c r="S186" s="5"/>
      <c r="T186" s="5" t="s">
        <v>39</v>
      </c>
      <c r="U186" s="8">
        <v>28997</v>
      </c>
      <c r="V186" s="5"/>
      <c r="W186" s="5"/>
      <c r="X186" s="5"/>
      <c r="Y186" s="5" t="s">
        <v>220</v>
      </c>
    </row>
    <row r="187" spans="1:25" ht="15">
      <c r="A187" s="5" t="s">
        <v>877</v>
      </c>
      <c r="B187" s="5" t="s">
        <v>26</v>
      </c>
      <c r="C187" s="5" t="s">
        <v>27</v>
      </c>
      <c r="D187" s="5">
        <v>122</v>
      </c>
      <c r="E187" s="7" t="s">
        <v>33</v>
      </c>
      <c r="F187" s="5"/>
      <c r="G187" s="5" t="s">
        <v>878</v>
      </c>
      <c r="H187" s="5">
        <v>2</v>
      </c>
      <c r="I187" s="8">
        <v>45566</v>
      </c>
      <c r="J187" s="9">
        <v>47026</v>
      </c>
      <c r="K187" s="5" t="s">
        <v>29</v>
      </c>
      <c r="L187" s="5" t="s">
        <v>141</v>
      </c>
      <c r="M187" s="52" t="s">
        <v>879</v>
      </c>
      <c r="N187" s="5" t="s">
        <v>143</v>
      </c>
      <c r="O187" s="5"/>
      <c r="P187" s="76" t="s">
        <v>880</v>
      </c>
      <c r="Q187" s="12"/>
      <c r="R187" s="5"/>
      <c r="S187" s="5"/>
      <c r="T187" s="5" t="s">
        <v>39</v>
      </c>
      <c r="U187" s="8">
        <v>34576</v>
      </c>
      <c r="V187" s="5"/>
      <c r="W187" s="5"/>
      <c r="X187" s="5"/>
      <c r="Y187" s="5" t="s">
        <v>41</v>
      </c>
    </row>
    <row r="188" spans="1:25" ht="15">
      <c r="A188" s="5" t="s">
        <v>881</v>
      </c>
      <c r="B188" s="5" t="s">
        <v>26</v>
      </c>
      <c r="C188" s="5" t="s">
        <v>118</v>
      </c>
      <c r="D188" s="5">
        <v>113</v>
      </c>
      <c r="E188" s="7" t="s">
        <v>203</v>
      </c>
      <c r="F188" s="5"/>
      <c r="G188" s="5" t="s">
        <v>499</v>
      </c>
      <c r="H188" s="5">
        <v>2</v>
      </c>
      <c r="I188" s="8">
        <v>45566</v>
      </c>
      <c r="J188" s="9">
        <v>47026</v>
      </c>
      <c r="K188" s="5" t="s">
        <v>120</v>
      </c>
      <c r="L188" s="5" t="s">
        <v>35</v>
      </c>
      <c r="M188" s="5" t="s">
        <v>882</v>
      </c>
      <c r="N188" s="5" t="s">
        <v>211</v>
      </c>
      <c r="O188" s="5" t="s">
        <v>184</v>
      </c>
      <c r="P188" s="44" t="s">
        <v>883</v>
      </c>
      <c r="Q188" s="12"/>
      <c r="R188" s="5"/>
      <c r="S188" s="5"/>
      <c r="T188" s="5" t="s">
        <v>39</v>
      </c>
      <c r="U188" s="8">
        <v>37085</v>
      </c>
      <c r="V188" s="5"/>
      <c r="W188" s="5"/>
      <c r="X188" s="5"/>
      <c r="Y188" s="5"/>
    </row>
    <row r="189" spans="1:25" ht="13.8">
      <c r="A189" s="13" t="s">
        <v>884</v>
      </c>
      <c r="B189" s="5" t="s">
        <v>26</v>
      </c>
      <c r="C189" s="5" t="s">
        <v>27</v>
      </c>
      <c r="D189" s="6" t="s">
        <v>385</v>
      </c>
      <c r="E189" s="7" t="s">
        <v>90</v>
      </c>
      <c r="F189" s="5"/>
      <c r="G189" s="5"/>
      <c r="H189" s="5">
        <v>1</v>
      </c>
      <c r="I189" s="8">
        <v>45931</v>
      </c>
      <c r="J189" s="8">
        <v>47391</v>
      </c>
      <c r="K189" s="5" t="s">
        <v>29</v>
      </c>
      <c r="L189" s="5" t="s">
        <v>30</v>
      </c>
      <c r="M189" s="34" t="s">
        <v>885</v>
      </c>
      <c r="N189" s="5" t="s">
        <v>45</v>
      </c>
      <c r="O189" s="5"/>
      <c r="P189" s="35"/>
      <c r="Q189" s="12"/>
      <c r="R189" s="5"/>
      <c r="S189" s="5"/>
      <c r="T189" s="5"/>
      <c r="U189" s="5"/>
      <c r="V189" s="5"/>
      <c r="W189" s="5"/>
      <c r="X189" s="5"/>
      <c r="Y189" s="5"/>
    </row>
    <row r="190" spans="1:25" ht="15">
      <c r="A190" s="5" t="s">
        <v>886</v>
      </c>
      <c r="B190" s="5" t="s">
        <v>26</v>
      </c>
      <c r="C190" s="5" t="s">
        <v>461</v>
      </c>
      <c r="D190" s="5">
        <v>121</v>
      </c>
      <c r="E190" s="7" t="s">
        <v>77</v>
      </c>
      <c r="F190" s="5"/>
      <c r="G190" s="5" t="s">
        <v>307</v>
      </c>
      <c r="H190" s="5">
        <v>4</v>
      </c>
      <c r="I190" s="8">
        <v>45809</v>
      </c>
      <c r="J190" s="9">
        <v>46081</v>
      </c>
      <c r="K190" s="5" t="s">
        <v>83</v>
      </c>
      <c r="L190" s="5" t="s">
        <v>35</v>
      </c>
      <c r="M190" s="5"/>
      <c r="N190" s="5" t="s">
        <v>463</v>
      </c>
      <c r="O190" s="5"/>
      <c r="P190" s="44"/>
      <c r="Q190" s="12"/>
      <c r="R190" s="5"/>
      <c r="S190" s="5"/>
      <c r="T190" s="5" t="s">
        <v>39</v>
      </c>
      <c r="U190" s="8"/>
      <c r="V190" s="5"/>
      <c r="W190" s="5"/>
      <c r="X190" s="5"/>
      <c r="Y190" s="5" t="s">
        <v>94</v>
      </c>
    </row>
    <row r="191" spans="1:25" ht="15">
      <c r="A191" s="5" t="s">
        <v>887</v>
      </c>
      <c r="B191" s="5" t="s">
        <v>26</v>
      </c>
      <c r="C191" s="5" t="s">
        <v>27</v>
      </c>
      <c r="D191" s="5">
        <v>123</v>
      </c>
      <c r="E191" s="7" t="s">
        <v>80</v>
      </c>
      <c r="F191" s="5" t="s">
        <v>81</v>
      </c>
      <c r="G191" s="5" t="s">
        <v>888</v>
      </c>
      <c r="H191" s="5">
        <v>2</v>
      </c>
      <c r="I191" s="8">
        <v>45566</v>
      </c>
      <c r="J191" s="9">
        <v>47026</v>
      </c>
      <c r="K191" s="5" t="s">
        <v>29</v>
      </c>
      <c r="L191" s="5" t="s">
        <v>141</v>
      </c>
      <c r="M191" s="5" t="s">
        <v>889</v>
      </c>
      <c r="N191" s="5" t="s">
        <v>143</v>
      </c>
      <c r="O191" s="5"/>
      <c r="P191" s="44" t="s">
        <v>890</v>
      </c>
      <c r="Q191" s="12"/>
      <c r="R191" s="5"/>
      <c r="S191" s="5"/>
      <c r="T191" s="5" t="s">
        <v>39</v>
      </c>
      <c r="U191" s="8">
        <v>35905</v>
      </c>
      <c r="V191" s="5"/>
      <c r="W191" s="5"/>
      <c r="X191" s="5"/>
      <c r="Y191" s="5" t="s">
        <v>88</v>
      </c>
    </row>
    <row r="192" spans="1:25" ht="13.8">
      <c r="A192" s="5" t="s">
        <v>891</v>
      </c>
      <c r="B192" s="5" t="s">
        <v>26</v>
      </c>
      <c r="C192" s="5" t="s">
        <v>27</v>
      </c>
      <c r="D192" s="5">
        <v>172</v>
      </c>
      <c r="E192" s="7" t="s">
        <v>278</v>
      </c>
      <c r="F192" s="5"/>
      <c r="G192" s="5" t="s">
        <v>892</v>
      </c>
      <c r="H192" s="5">
        <v>4</v>
      </c>
      <c r="I192" s="8">
        <v>44835</v>
      </c>
      <c r="J192" s="8">
        <v>46295</v>
      </c>
      <c r="K192" s="5" t="s">
        <v>29</v>
      </c>
      <c r="L192" s="5" t="s">
        <v>50</v>
      </c>
      <c r="M192" s="28" t="s">
        <v>893</v>
      </c>
      <c r="N192" s="21" t="s">
        <v>52</v>
      </c>
      <c r="O192" s="5" t="s">
        <v>64</v>
      </c>
      <c r="P192" s="53" t="s">
        <v>894</v>
      </c>
      <c r="Q192" s="12"/>
      <c r="R192" s="5"/>
      <c r="S192" s="5"/>
      <c r="T192" s="5" t="s">
        <v>39</v>
      </c>
      <c r="U192" s="16">
        <v>30373</v>
      </c>
      <c r="V192" s="6">
        <v>380974542579</v>
      </c>
      <c r="W192" s="5" t="s">
        <v>40</v>
      </c>
      <c r="X192" s="6">
        <v>2005</v>
      </c>
      <c r="Y192" s="5" t="s">
        <v>266</v>
      </c>
    </row>
    <row r="193" spans="1:25" ht="13.8">
      <c r="A193" s="28" t="s">
        <v>895</v>
      </c>
      <c r="B193" s="5" t="s">
        <v>26</v>
      </c>
      <c r="C193" s="5" t="s">
        <v>27</v>
      </c>
      <c r="D193" s="29">
        <v>172</v>
      </c>
      <c r="E193" s="30" t="s">
        <v>278</v>
      </c>
      <c r="F193" s="5"/>
      <c r="G193" s="13" t="s">
        <v>896</v>
      </c>
      <c r="H193" s="5">
        <v>3</v>
      </c>
      <c r="I193" s="8">
        <v>45200</v>
      </c>
      <c r="J193" s="8">
        <v>46660</v>
      </c>
      <c r="K193" s="5" t="s">
        <v>29</v>
      </c>
      <c r="L193" s="5" t="s">
        <v>35</v>
      </c>
      <c r="M193" s="13" t="s">
        <v>897</v>
      </c>
      <c r="N193" s="5" t="s">
        <v>85</v>
      </c>
      <c r="O193" s="5"/>
      <c r="P193" s="5" t="s">
        <v>898</v>
      </c>
      <c r="Q193" s="12"/>
      <c r="R193" s="5"/>
      <c r="S193" s="5"/>
      <c r="T193" s="31" t="s">
        <v>39</v>
      </c>
      <c r="U193" s="33">
        <v>33002</v>
      </c>
      <c r="V193" s="5"/>
      <c r="W193" s="5"/>
      <c r="X193" s="5"/>
      <c r="Y193" s="5" t="s">
        <v>266</v>
      </c>
    </row>
    <row r="194" spans="1:25" ht="15">
      <c r="A194" s="5" t="s">
        <v>899</v>
      </c>
      <c r="B194" s="5" t="s">
        <v>26</v>
      </c>
      <c r="C194" s="5" t="s">
        <v>27</v>
      </c>
      <c r="D194" s="5">
        <v>121</v>
      </c>
      <c r="E194" s="7" t="s">
        <v>77</v>
      </c>
      <c r="F194" s="5"/>
      <c r="G194" s="5" t="s">
        <v>900</v>
      </c>
      <c r="H194" s="5">
        <v>2</v>
      </c>
      <c r="I194" s="8">
        <v>45566</v>
      </c>
      <c r="J194" s="9">
        <v>47026</v>
      </c>
      <c r="K194" s="5" t="s">
        <v>29</v>
      </c>
      <c r="L194" s="5" t="s">
        <v>141</v>
      </c>
      <c r="M194" s="66" t="s">
        <v>901</v>
      </c>
      <c r="N194" s="5" t="s">
        <v>143</v>
      </c>
      <c r="O194" s="5"/>
      <c r="P194" s="44" t="s">
        <v>902</v>
      </c>
      <c r="Q194" s="12"/>
      <c r="R194" s="5"/>
      <c r="S194" s="5"/>
      <c r="T194" s="5" t="s">
        <v>39</v>
      </c>
      <c r="U194" s="8">
        <v>35509</v>
      </c>
      <c r="V194" s="5"/>
      <c r="W194" s="5"/>
      <c r="X194" s="5"/>
      <c r="Y194" s="5" t="s">
        <v>94</v>
      </c>
    </row>
    <row r="195" spans="1:25" ht="13.8">
      <c r="A195" s="28" t="s">
        <v>903</v>
      </c>
      <c r="B195" s="5" t="s">
        <v>26</v>
      </c>
      <c r="C195" s="5" t="s">
        <v>27</v>
      </c>
      <c r="D195" s="29">
        <v>122</v>
      </c>
      <c r="E195" s="30" t="s">
        <v>33</v>
      </c>
      <c r="F195" s="5"/>
      <c r="G195" s="13" t="s">
        <v>904</v>
      </c>
      <c r="H195" s="5">
        <v>3</v>
      </c>
      <c r="I195" s="8">
        <v>45200</v>
      </c>
      <c r="J195" s="8">
        <v>46660</v>
      </c>
      <c r="K195" s="5" t="s">
        <v>29</v>
      </c>
      <c r="L195" s="5" t="s">
        <v>50</v>
      </c>
      <c r="M195" s="13" t="s">
        <v>905</v>
      </c>
      <c r="N195" s="5" t="s">
        <v>85</v>
      </c>
      <c r="O195" s="5"/>
      <c r="P195" s="5" t="s">
        <v>906</v>
      </c>
      <c r="Q195" s="12"/>
      <c r="R195" s="5"/>
      <c r="S195" s="5"/>
      <c r="T195" s="31" t="s">
        <v>39</v>
      </c>
      <c r="U195" s="33">
        <v>36732</v>
      </c>
      <c r="V195" s="5"/>
      <c r="W195" s="5"/>
      <c r="X195" s="5"/>
      <c r="Y195" s="5" t="s">
        <v>41</v>
      </c>
    </row>
    <row r="196" spans="1:25" ht="13.8">
      <c r="A196" s="5" t="s">
        <v>907</v>
      </c>
      <c r="B196" s="5" t="s">
        <v>26</v>
      </c>
      <c r="C196" s="5" t="s">
        <v>27</v>
      </c>
      <c r="D196" s="5">
        <v>105</v>
      </c>
      <c r="E196" s="7" t="s">
        <v>216</v>
      </c>
      <c r="F196" s="5"/>
      <c r="G196" s="5" t="s">
        <v>908</v>
      </c>
      <c r="H196" s="5">
        <v>4</v>
      </c>
      <c r="I196" s="8">
        <v>44835</v>
      </c>
      <c r="J196" s="8">
        <v>46295</v>
      </c>
      <c r="K196" s="5" t="s">
        <v>29</v>
      </c>
      <c r="L196" s="5" t="s">
        <v>50</v>
      </c>
      <c r="M196" s="28" t="s">
        <v>909</v>
      </c>
      <c r="N196" s="21" t="s">
        <v>52</v>
      </c>
      <c r="O196" s="5" t="s">
        <v>64</v>
      </c>
      <c r="P196" s="28" t="s">
        <v>910</v>
      </c>
      <c r="Q196" s="12"/>
      <c r="R196" s="5"/>
      <c r="S196" s="5" t="s">
        <v>685</v>
      </c>
      <c r="T196" s="5" t="s">
        <v>39</v>
      </c>
      <c r="U196" s="16">
        <v>26143</v>
      </c>
      <c r="V196" s="5" t="s">
        <v>911</v>
      </c>
      <c r="W196" s="5" t="s">
        <v>581</v>
      </c>
      <c r="X196" s="6">
        <v>1995</v>
      </c>
      <c r="Y196" s="5" t="s">
        <v>220</v>
      </c>
    </row>
    <row r="197" spans="1:25" ht="20.25" customHeight="1">
      <c r="A197" s="5" t="s">
        <v>912</v>
      </c>
      <c r="B197" s="61" t="s">
        <v>47</v>
      </c>
      <c r="C197" s="5" t="s">
        <v>27</v>
      </c>
      <c r="D197" s="61">
        <v>172</v>
      </c>
      <c r="E197" s="64" t="s">
        <v>180</v>
      </c>
      <c r="F197" s="5" t="s">
        <v>181</v>
      </c>
      <c r="G197" s="61" t="s">
        <v>913</v>
      </c>
      <c r="H197" s="61"/>
      <c r="I197" s="78">
        <v>44470</v>
      </c>
      <c r="J197" s="48">
        <v>45929</v>
      </c>
      <c r="K197" s="5" t="s">
        <v>29</v>
      </c>
      <c r="L197" s="5" t="s">
        <v>418</v>
      </c>
      <c r="M197" s="49" t="s">
        <v>914</v>
      </c>
      <c r="N197" s="12" t="s">
        <v>915</v>
      </c>
      <c r="O197" s="5" t="s">
        <v>271</v>
      </c>
      <c r="P197" s="53" t="s">
        <v>916</v>
      </c>
      <c r="Q197" s="12" t="s">
        <v>664</v>
      </c>
      <c r="R197" s="5" t="s">
        <v>492</v>
      </c>
      <c r="S197" s="5"/>
      <c r="T197" s="5" t="s">
        <v>39</v>
      </c>
      <c r="U197" s="79">
        <v>35787</v>
      </c>
      <c r="V197" s="50" t="s">
        <v>917</v>
      </c>
      <c r="W197" s="5" t="s">
        <v>40</v>
      </c>
      <c r="X197" s="5">
        <v>2020</v>
      </c>
      <c r="Y197" s="5"/>
    </row>
    <row r="198" spans="1:25" ht="13.8">
      <c r="A198" s="13" t="s">
        <v>918</v>
      </c>
      <c r="B198" s="5" t="s">
        <v>26</v>
      </c>
      <c r="C198" s="5" t="s">
        <v>27</v>
      </c>
      <c r="D198" s="5">
        <v>113</v>
      </c>
      <c r="E198" s="7" t="s">
        <v>203</v>
      </c>
      <c r="F198" s="5"/>
      <c r="G198" s="5" t="s">
        <v>569</v>
      </c>
      <c r="H198" s="5">
        <v>3</v>
      </c>
      <c r="I198" s="8">
        <v>45047</v>
      </c>
      <c r="J198" s="8">
        <v>46507</v>
      </c>
      <c r="K198" s="5" t="s">
        <v>29</v>
      </c>
      <c r="L198" s="5" t="s">
        <v>35</v>
      </c>
      <c r="M198" s="53" t="s">
        <v>919</v>
      </c>
      <c r="N198" s="12" t="s">
        <v>37</v>
      </c>
      <c r="O198" s="5"/>
      <c r="P198" s="74" t="s">
        <v>920</v>
      </c>
      <c r="Q198" s="12"/>
      <c r="R198" s="5"/>
      <c r="S198" s="5"/>
      <c r="T198" s="5" t="s">
        <v>39</v>
      </c>
      <c r="U198" s="16">
        <v>35969</v>
      </c>
      <c r="V198" s="5">
        <f>380961041077</f>
        <v>380961041077</v>
      </c>
      <c r="W198" s="5" t="s">
        <v>40</v>
      </c>
      <c r="X198" s="6">
        <v>2021</v>
      </c>
      <c r="Y198" s="5" t="s">
        <v>41</v>
      </c>
    </row>
    <row r="199" spans="1:25" ht="13.8">
      <c r="A199" s="13" t="s">
        <v>921</v>
      </c>
      <c r="B199" s="5" t="s">
        <v>26</v>
      </c>
      <c r="C199" s="5" t="s">
        <v>27</v>
      </c>
      <c r="D199" s="5">
        <v>125</v>
      </c>
      <c r="E199" s="7" t="s">
        <v>104</v>
      </c>
      <c r="F199" s="5" t="s">
        <v>922</v>
      </c>
      <c r="G199" s="5" t="s">
        <v>482</v>
      </c>
      <c r="H199" s="5">
        <v>3</v>
      </c>
      <c r="I199" s="8">
        <v>45047</v>
      </c>
      <c r="J199" s="8">
        <v>46507</v>
      </c>
      <c r="K199" s="5" t="s">
        <v>29</v>
      </c>
      <c r="L199" s="5" t="s">
        <v>35</v>
      </c>
      <c r="M199" s="53" t="s">
        <v>923</v>
      </c>
      <c r="N199" s="12" t="s">
        <v>37</v>
      </c>
      <c r="O199" s="5"/>
      <c r="P199" s="72" t="s">
        <v>924</v>
      </c>
      <c r="Q199" s="12"/>
      <c r="R199" s="5"/>
      <c r="S199" s="5"/>
      <c r="T199" s="5" t="s">
        <v>39</v>
      </c>
      <c r="U199" s="16">
        <v>36610</v>
      </c>
      <c r="V199" s="5">
        <f>380996160213</f>
        <v>380996160213</v>
      </c>
      <c r="W199" s="5" t="s">
        <v>40</v>
      </c>
      <c r="X199" s="6">
        <v>2022</v>
      </c>
      <c r="Y199" s="5" t="s">
        <v>106</v>
      </c>
    </row>
    <row r="200" spans="1:25" ht="13.8">
      <c r="A200" s="5" t="s">
        <v>925</v>
      </c>
      <c r="B200" s="5" t="s">
        <v>47</v>
      </c>
      <c r="C200" s="5" t="s">
        <v>27</v>
      </c>
      <c r="D200" s="5">
        <v>151</v>
      </c>
      <c r="E200" s="7" t="s">
        <v>138</v>
      </c>
      <c r="F200" s="5" t="s">
        <v>139</v>
      </c>
      <c r="G200" s="5" t="s">
        <v>162</v>
      </c>
      <c r="H200" s="5"/>
      <c r="I200" s="48">
        <v>44470</v>
      </c>
      <c r="J200" s="48">
        <v>45853</v>
      </c>
      <c r="K200" s="5" t="s">
        <v>29</v>
      </c>
      <c r="L200" s="5" t="s">
        <v>418</v>
      </c>
      <c r="M200" s="28" t="s">
        <v>926</v>
      </c>
      <c r="N200" s="12" t="s">
        <v>270</v>
      </c>
      <c r="O200" s="5" t="s">
        <v>271</v>
      </c>
      <c r="P200" s="53" t="s">
        <v>927</v>
      </c>
      <c r="Q200" s="12" t="s">
        <v>928</v>
      </c>
      <c r="R200" s="5" t="s">
        <v>492</v>
      </c>
      <c r="S200" s="5" t="s">
        <v>423</v>
      </c>
      <c r="T200" s="5" t="s">
        <v>39</v>
      </c>
      <c r="U200" s="48">
        <v>30322</v>
      </c>
      <c r="V200" s="50" t="s">
        <v>929</v>
      </c>
      <c r="W200" s="5" t="s">
        <v>930</v>
      </c>
      <c r="X200" s="5">
        <v>2007</v>
      </c>
      <c r="Y200" s="5"/>
    </row>
    <row r="201" spans="1:25" ht="13.8">
      <c r="A201" s="5" t="s">
        <v>931</v>
      </c>
      <c r="B201" s="5" t="s">
        <v>26</v>
      </c>
      <c r="C201" s="5" t="s">
        <v>118</v>
      </c>
      <c r="D201" s="5">
        <v>122</v>
      </c>
      <c r="E201" s="64" t="s">
        <v>33</v>
      </c>
      <c r="F201" s="5"/>
      <c r="G201" s="61" t="s">
        <v>932</v>
      </c>
      <c r="H201" s="5">
        <v>3</v>
      </c>
      <c r="I201" s="9">
        <v>45200</v>
      </c>
      <c r="J201" s="9">
        <v>47026</v>
      </c>
      <c r="K201" s="5" t="s">
        <v>120</v>
      </c>
      <c r="L201" s="5" t="s">
        <v>35</v>
      </c>
      <c r="M201" s="80" t="s">
        <v>933</v>
      </c>
      <c r="N201" s="5" t="s">
        <v>934</v>
      </c>
      <c r="O201" s="5" t="s">
        <v>935</v>
      </c>
      <c r="P201" s="53" t="s">
        <v>936</v>
      </c>
      <c r="Q201" s="12"/>
      <c r="R201" s="5"/>
      <c r="S201" s="5" t="s">
        <v>937</v>
      </c>
      <c r="T201" s="5" t="s">
        <v>57</v>
      </c>
      <c r="U201" s="8">
        <v>31510</v>
      </c>
      <c r="V201" s="5"/>
      <c r="W201" s="5"/>
      <c r="X201" s="5"/>
      <c r="Y201" s="5"/>
    </row>
    <row r="202" spans="1:25" ht="13.8">
      <c r="A202" s="13" t="s">
        <v>938</v>
      </c>
      <c r="B202" s="5" t="s">
        <v>26</v>
      </c>
      <c r="C202" s="5" t="s">
        <v>27</v>
      </c>
      <c r="D202" s="6" t="s">
        <v>43</v>
      </c>
      <c r="E202" s="7"/>
      <c r="F202" s="5"/>
      <c r="G202" s="5"/>
      <c r="H202" s="5">
        <v>1</v>
      </c>
      <c r="I202" s="8">
        <v>45931</v>
      </c>
      <c r="J202" s="8">
        <v>47391</v>
      </c>
      <c r="K202" s="5" t="s">
        <v>29</v>
      </c>
      <c r="L202" s="5" t="s">
        <v>30</v>
      </c>
      <c r="M202" s="34" t="s">
        <v>939</v>
      </c>
      <c r="N202" s="5" t="s">
        <v>45</v>
      </c>
      <c r="O202" s="5"/>
      <c r="P202" s="35"/>
      <c r="Q202" s="12"/>
      <c r="R202" s="5"/>
      <c r="S202" s="5"/>
      <c r="T202" s="5"/>
      <c r="U202" s="5"/>
      <c r="V202" s="5"/>
      <c r="W202" s="5"/>
      <c r="X202" s="5"/>
      <c r="Y202" s="5"/>
    </row>
    <row r="203" spans="1:25" ht="13.8">
      <c r="A203" s="13" t="s">
        <v>940</v>
      </c>
      <c r="B203" s="5" t="s">
        <v>26</v>
      </c>
      <c r="C203" s="5" t="s">
        <v>27</v>
      </c>
      <c r="D203" s="29">
        <v>175</v>
      </c>
      <c r="E203" s="30" t="s">
        <v>146</v>
      </c>
      <c r="F203" s="5" t="s">
        <v>717</v>
      </c>
      <c r="G203" s="13" t="s">
        <v>795</v>
      </c>
      <c r="H203" s="5">
        <v>3</v>
      </c>
      <c r="I203" s="8">
        <v>45231</v>
      </c>
      <c r="J203" s="36">
        <v>46691</v>
      </c>
      <c r="K203" s="5" t="s">
        <v>29</v>
      </c>
      <c r="L203" s="5" t="s">
        <v>35</v>
      </c>
      <c r="M203" s="60" t="s">
        <v>941</v>
      </c>
      <c r="N203" s="37" t="s">
        <v>128</v>
      </c>
      <c r="O203" s="5"/>
      <c r="P203" s="5" t="s">
        <v>942</v>
      </c>
      <c r="Q203" s="12"/>
      <c r="R203" s="5"/>
      <c r="S203" s="5"/>
      <c r="T203" s="5" t="s">
        <v>39</v>
      </c>
      <c r="U203" s="33">
        <v>28194</v>
      </c>
      <c r="V203" s="5"/>
      <c r="W203" s="5"/>
      <c r="X203" s="5"/>
      <c r="Y203" s="5"/>
    </row>
    <row r="204" spans="1:25" ht="13.8">
      <c r="A204" s="5" t="s">
        <v>943</v>
      </c>
      <c r="B204" s="5" t="s">
        <v>26</v>
      </c>
      <c r="C204" s="5" t="s">
        <v>27</v>
      </c>
      <c r="D204" s="5">
        <v>122</v>
      </c>
      <c r="E204" s="7" t="s">
        <v>322</v>
      </c>
      <c r="F204" s="5"/>
      <c r="G204" s="5" t="s">
        <v>668</v>
      </c>
      <c r="H204" s="5">
        <v>4</v>
      </c>
      <c r="I204" s="8">
        <v>44835</v>
      </c>
      <c r="J204" s="8">
        <v>46295</v>
      </c>
      <c r="K204" s="5" t="s">
        <v>29</v>
      </c>
      <c r="L204" s="5" t="s">
        <v>35</v>
      </c>
      <c r="M204" s="28" t="s">
        <v>944</v>
      </c>
      <c r="N204" s="21" t="s">
        <v>52</v>
      </c>
      <c r="O204" s="5" t="s">
        <v>64</v>
      </c>
      <c r="P204" s="53" t="s">
        <v>945</v>
      </c>
      <c r="Q204" s="12"/>
      <c r="R204" s="5"/>
      <c r="S204" s="5"/>
      <c r="T204" s="5" t="s">
        <v>39</v>
      </c>
      <c r="U204" s="16">
        <v>34905</v>
      </c>
      <c r="V204" s="5" t="s">
        <v>946</v>
      </c>
      <c r="W204" s="5" t="s">
        <v>416</v>
      </c>
      <c r="X204" s="6">
        <v>2018</v>
      </c>
      <c r="Y204" s="5"/>
    </row>
    <row r="205" spans="1:25" ht="13.8">
      <c r="A205" s="5" t="s">
        <v>947</v>
      </c>
      <c r="B205" s="5" t="s">
        <v>26</v>
      </c>
      <c r="C205" s="5" t="s">
        <v>27</v>
      </c>
      <c r="D205" s="5">
        <v>113</v>
      </c>
      <c r="E205" s="7" t="s">
        <v>203</v>
      </c>
      <c r="F205" s="5"/>
      <c r="G205" s="5" t="s">
        <v>244</v>
      </c>
      <c r="H205" s="5">
        <v>4</v>
      </c>
      <c r="I205" s="8">
        <v>44835</v>
      </c>
      <c r="J205" s="8">
        <v>46295</v>
      </c>
      <c r="K205" s="5" t="s">
        <v>29</v>
      </c>
      <c r="L205" s="5" t="s">
        <v>35</v>
      </c>
      <c r="M205" s="28" t="s">
        <v>948</v>
      </c>
      <c r="N205" s="21" t="s">
        <v>52</v>
      </c>
      <c r="O205" s="5" t="s">
        <v>64</v>
      </c>
      <c r="P205" s="53" t="s">
        <v>949</v>
      </c>
      <c r="Q205" s="12"/>
      <c r="R205" s="5"/>
      <c r="S205" s="5" t="s">
        <v>247</v>
      </c>
      <c r="T205" s="5" t="s">
        <v>39</v>
      </c>
      <c r="U205" s="16">
        <v>33152</v>
      </c>
      <c r="V205" s="5" t="s">
        <v>950</v>
      </c>
      <c r="W205" s="5" t="s">
        <v>951</v>
      </c>
      <c r="X205" s="6">
        <v>2014</v>
      </c>
      <c r="Y205" s="5" t="s">
        <v>41</v>
      </c>
    </row>
    <row r="206" spans="1:25" ht="13.8">
      <c r="A206" s="28" t="s">
        <v>952</v>
      </c>
      <c r="B206" s="5" t="s">
        <v>26</v>
      </c>
      <c r="C206" s="5" t="s">
        <v>27</v>
      </c>
      <c r="D206" s="29">
        <v>123</v>
      </c>
      <c r="E206" s="30" t="s">
        <v>80</v>
      </c>
      <c r="F206" s="5" t="s">
        <v>81</v>
      </c>
      <c r="G206" s="13" t="s">
        <v>350</v>
      </c>
      <c r="H206" s="5">
        <v>3</v>
      </c>
      <c r="I206" s="8">
        <v>45200</v>
      </c>
      <c r="J206" s="8">
        <v>46660</v>
      </c>
      <c r="K206" s="5" t="s">
        <v>29</v>
      </c>
      <c r="L206" s="5" t="s">
        <v>35</v>
      </c>
      <c r="M206" s="60" t="s">
        <v>953</v>
      </c>
      <c r="N206" s="5" t="s">
        <v>85</v>
      </c>
      <c r="O206" s="5"/>
      <c r="P206" s="5" t="s">
        <v>954</v>
      </c>
      <c r="Q206" s="12"/>
      <c r="R206" s="5"/>
      <c r="S206" s="5"/>
      <c r="T206" s="5" t="s">
        <v>39</v>
      </c>
      <c r="U206" s="33">
        <v>33037</v>
      </c>
      <c r="V206" s="5"/>
      <c r="W206" s="5"/>
      <c r="X206" s="5"/>
      <c r="Y206" s="5" t="s">
        <v>88</v>
      </c>
    </row>
    <row r="207" spans="1:25" ht="13.8">
      <c r="A207" s="5" t="s">
        <v>955</v>
      </c>
      <c r="B207" s="5" t="s">
        <v>26</v>
      </c>
      <c r="C207" s="5" t="s">
        <v>27</v>
      </c>
      <c r="D207" s="5">
        <v>122</v>
      </c>
      <c r="E207" s="30" t="s">
        <v>124</v>
      </c>
      <c r="F207" s="5" t="s">
        <v>125</v>
      </c>
      <c r="G207" s="5" t="s">
        <v>956</v>
      </c>
      <c r="H207" s="5">
        <v>4</v>
      </c>
      <c r="I207" s="8">
        <v>44835</v>
      </c>
      <c r="J207" s="8">
        <v>46295</v>
      </c>
      <c r="K207" s="5" t="s">
        <v>29</v>
      </c>
      <c r="L207" s="5" t="s">
        <v>35</v>
      </c>
      <c r="M207" s="60" t="s">
        <v>957</v>
      </c>
      <c r="N207" s="21" t="s">
        <v>52</v>
      </c>
      <c r="O207" s="5" t="s">
        <v>64</v>
      </c>
      <c r="P207" s="53" t="s">
        <v>958</v>
      </c>
      <c r="Q207" s="12"/>
      <c r="R207" s="5"/>
      <c r="S207" s="5" t="s">
        <v>959</v>
      </c>
      <c r="T207" s="5" t="s">
        <v>39</v>
      </c>
      <c r="U207" s="16">
        <v>36084</v>
      </c>
      <c r="V207" s="50" t="s">
        <v>960</v>
      </c>
      <c r="W207" s="5" t="s">
        <v>40</v>
      </c>
      <c r="X207" s="6">
        <v>2021</v>
      </c>
      <c r="Y207" s="5" t="s">
        <v>266</v>
      </c>
    </row>
    <row r="208" spans="1:25" ht="13.8">
      <c r="A208" s="13" t="s">
        <v>961</v>
      </c>
      <c r="B208" s="5" t="s">
        <v>26</v>
      </c>
      <c r="C208" s="5" t="s">
        <v>27</v>
      </c>
      <c r="D208" s="5">
        <v>51</v>
      </c>
      <c r="E208" s="7" t="s">
        <v>192</v>
      </c>
      <c r="F208" s="5"/>
      <c r="G208" s="5" t="s">
        <v>962</v>
      </c>
      <c r="H208" s="5">
        <v>3</v>
      </c>
      <c r="I208" s="8">
        <v>45047</v>
      </c>
      <c r="J208" s="8">
        <v>46507</v>
      </c>
      <c r="K208" s="5" t="s">
        <v>29</v>
      </c>
      <c r="L208" s="5" t="s">
        <v>35</v>
      </c>
      <c r="M208" s="53" t="s">
        <v>963</v>
      </c>
      <c r="N208" s="12" t="s">
        <v>37</v>
      </c>
      <c r="O208" s="5"/>
      <c r="P208" s="72" t="s">
        <v>964</v>
      </c>
      <c r="Q208" s="12"/>
      <c r="R208" s="5"/>
      <c r="S208" s="5" t="s">
        <v>965</v>
      </c>
      <c r="T208" s="5" t="s">
        <v>39</v>
      </c>
      <c r="U208" s="16">
        <v>36622</v>
      </c>
      <c r="V208" s="5">
        <v>979312662</v>
      </c>
      <c r="W208" s="5" t="s">
        <v>40</v>
      </c>
      <c r="X208" s="6">
        <v>2022</v>
      </c>
      <c r="Y208" s="5" t="s">
        <v>41</v>
      </c>
    </row>
    <row r="209" spans="1:25" ht="13.8">
      <c r="A209" s="13" t="s">
        <v>966</v>
      </c>
      <c r="B209" s="5" t="s">
        <v>26</v>
      </c>
      <c r="C209" s="5" t="s">
        <v>27</v>
      </c>
      <c r="D209" s="5">
        <v>122</v>
      </c>
      <c r="E209" s="7" t="s">
        <v>294</v>
      </c>
      <c r="F209" s="5" t="s">
        <v>295</v>
      </c>
      <c r="G209" s="5" t="s">
        <v>967</v>
      </c>
      <c r="H209" s="5">
        <v>3</v>
      </c>
      <c r="I209" s="8">
        <v>45047</v>
      </c>
      <c r="J209" s="8">
        <v>46507</v>
      </c>
      <c r="K209" s="5" t="s">
        <v>29</v>
      </c>
      <c r="L209" s="5" t="s">
        <v>35</v>
      </c>
      <c r="M209" s="53" t="s">
        <v>968</v>
      </c>
      <c r="N209" s="12" t="s">
        <v>37</v>
      </c>
      <c r="O209" s="5"/>
      <c r="P209" s="74" t="s">
        <v>969</v>
      </c>
      <c r="Q209" s="12"/>
      <c r="R209" s="5"/>
      <c r="S209" s="5"/>
      <c r="T209" s="5" t="s">
        <v>39</v>
      </c>
      <c r="U209" s="16">
        <v>34652</v>
      </c>
      <c r="V209" s="5">
        <f>380676488965</f>
        <v>380676488965</v>
      </c>
      <c r="W209" s="5" t="s">
        <v>40</v>
      </c>
      <c r="X209" s="6">
        <v>2018</v>
      </c>
      <c r="Y209" s="5" t="s">
        <v>299</v>
      </c>
    </row>
    <row r="210" spans="1:25" ht="15">
      <c r="A210" s="5" t="s">
        <v>970</v>
      </c>
      <c r="B210" s="5" t="s">
        <v>26</v>
      </c>
      <c r="C210" s="5" t="s">
        <v>27</v>
      </c>
      <c r="D210" s="5">
        <v>124</v>
      </c>
      <c r="E210" s="7" t="s">
        <v>203</v>
      </c>
      <c r="F210" s="5"/>
      <c r="G210" s="5" t="s">
        <v>448</v>
      </c>
      <c r="H210" s="5">
        <v>2</v>
      </c>
      <c r="I210" s="8">
        <v>45566</v>
      </c>
      <c r="J210" s="9">
        <v>47026</v>
      </c>
      <c r="K210" s="5" t="s">
        <v>29</v>
      </c>
      <c r="L210" s="5" t="s">
        <v>141</v>
      </c>
      <c r="M210" s="5" t="s">
        <v>971</v>
      </c>
      <c r="N210" s="5" t="s">
        <v>143</v>
      </c>
      <c r="O210" s="5"/>
      <c r="P210" s="44" t="s">
        <v>972</v>
      </c>
      <c r="Q210" s="12"/>
      <c r="R210" s="5"/>
      <c r="S210" s="5"/>
      <c r="T210" s="5" t="s">
        <v>39</v>
      </c>
      <c r="U210" s="8">
        <v>31853</v>
      </c>
      <c r="V210" s="5"/>
      <c r="W210" s="5"/>
      <c r="X210" s="5"/>
      <c r="Y210" s="5" t="s">
        <v>41</v>
      </c>
    </row>
    <row r="211" spans="1:25" ht="28.5" customHeight="1">
      <c r="A211" s="5" t="s">
        <v>973</v>
      </c>
      <c r="B211" s="5" t="s">
        <v>26</v>
      </c>
      <c r="C211" s="5" t="s">
        <v>27</v>
      </c>
      <c r="D211" s="5">
        <v>121</v>
      </c>
      <c r="E211" s="7" t="s">
        <v>77</v>
      </c>
      <c r="F211" s="5"/>
      <c r="G211" s="5" t="s">
        <v>974</v>
      </c>
      <c r="H211" s="5">
        <v>4</v>
      </c>
      <c r="I211" s="48">
        <v>44470</v>
      </c>
      <c r="J211" s="48">
        <v>46295</v>
      </c>
      <c r="K211" s="5" t="s">
        <v>83</v>
      </c>
      <c r="L211" s="5" t="s">
        <v>35</v>
      </c>
      <c r="M211" s="49" t="s">
        <v>975</v>
      </c>
      <c r="N211" s="12" t="s">
        <v>270</v>
      </c>
      <c r="O211" s="5" t="s">
        <v>271</v>
      </c>
      <c r="P211" s="81" t="s">
        <v>976</v>
      </c>
      <c r="Q211" s="12"/>
      <c r="R211" s="5"/>
      <c r="S211" s="5" t="s">
        <v>977</v>
      </c>
      <c r="T211" s="5" t="s">
        <v>39</v>
      </c>
      <c r="U211" s="79">
        <v>35717</v>
      </c>
      <c r="V211" s="5" t="s">
        <v>978</v>
      </c>
      <c r="W211" s="5" t="s">
        <v>40</v>
      </c>
      <c r="X211" s="5">
        <v>2021</v>
      </c>
      <c r="Y211" s="5" t="s">
        <v>94</v>
      </c>
    </row>
    <row r="212" spans="1:25" ht="15">
      <c r="A212" s="13" t="s">
        <v>979</v>
      </c>
      <c r="B212" s="5" t="s">
        <v>26</v>
      </c>
      <c r="C212" s="5" t="s">
        <v>27</v>
      </c>
      <c r="D212" s="6" t="s">
        <v>980</v>
      </c>
      <c r="E212" s="7"/>
      <c r="F212" s="5"/>
      <c r="G212" s="5"/>
      <c r="H212" s="5">
        <v>1</v>
      </c>
      <c r="I212" s="8">
        <v>45931</v>
      </c>
      <c r="J212" s="8">
        <v>47391</v>
      </c>
      <c r="K212" s="5" t="s">
        <v>29</v>
      </c>
      <c r="L212" s="5" t="s">
        <v>30</v>
      </c>
      <c r="M212" s="34" t="s">
        <v>981</v>
      </c>
      <c r="N212" s="5" t="s">
        <v>45</v>
      </c>
      <c r="O212" s="5"/>
      <c r="P212" s="44"/>
      <c r="Q212" s="12"/>
      <c r="R212" s="5"/>
      <c r="S212" s="5" t="s">
        <v>982</v>
      </c>
      <c r="T212" s="5" t="s">
        <v>39</v>
      </c>
      <c r="U212" s="8">
        <v>35970</v>
      </c>
      <c r="V212" s="5"/>
      <c r="W212" s="5"/>
      <c r="X212" s="5"/>
      <c r="Y212" s="5"/>
    </row>
    <row r="213" spans="1:25" ht="82.8">
      <c r="A213" s="5" t="s">
        <v>983</v>
      </c>
      <c r="B213" s="5" t="s">
        <v>68</v>
      </c>
      <c r="C213" s="5" t="s">
        <v>984</v>
      </c>
      <c r="D213" s="5">
        <v>121</v>
      </c>
      <c r="E213" s="7" t="s">
        <v>77</v>
      </c>
      <c r="F213" s="5"/>
      <c r="G213" s="5" t="s">
        <v>985</v>
      </c>
      <c r="H213" s="5">
        <v>2</v>
      </c>
      <c r="I213" s="8">
        <v>44835</v>
      </c>
      <c r="J213" s="8">
        <v>46295</v>
      </c>
      <c r="K213" s="5" t="s">
        <v>29</v>
      </c>
      <c r="L213" s="5" t="s">
        <v>35</v>
      </c>
      <c r="M213" s="28" t="s">
        <v>986</v>
      </c>
      <c r="N213" s="21" t="s">
        <v>52</v>
      </c>
      <c r="O213" s="5"/>
      <c r="P213" s="82" t="s">
        <v>987</v>
      </c>
      <c r="Q213" s="12"/>
      <c r="R213" s="5"/>
      <c r="S213" s="5" t="s">
        <v>988</v>
      </c>
      <c r="T213" s="5" t="s">
        <v>39</v>
      </c>
      <c r="U213" s="16">
        <v>31467</v>
      </c>
      <c r="V213" s="5" t="s">
        <v>989</v>
      </c>
      <c r="W213" s="5" t="s">
        <v>416</v>
      </c>
      <c r="X213" s="6">
        <v>2009</v>
      </c>
      <c r="Y213" s="5"/>
    </row>
    <row r="214" spans="1:25" ht="13.8">
      <c r="A214" s="13" t="s">
        <v>990</v>
      </c>
      <c r="B214" s="5" t="s">
        <v>26</v>
      </c>
      <c r="C214" s="5" t="s">
        <v>27</v>
      </c>
      <c r="D214" s="6" t="s">
        <v>103</v>
      </c>
      <c r="E214" s="7" t="s">
        <v>104</v>
      </c>
      <c r="F214" s="5"/>
      <c r="G214" s="5"/>
      <c r="H214" s="5">
        <v>1</v>
      </c>
      <c r="I214" s="8">
        <v>45931</v>
      </c>
      <c r="J214" s="8">
        <v>47391</v>
      </c>
      <c r="K214" s="5" t="s">
        <v>29</v>
      </c>
      <c r="L214" s="5" t="s">
        <v>30</v>
      </c>
      <c r="M214" s="34" t="s">
        <v>991</v>
      </c>
      <c r="N214" s="5" t="s">
        <v>45</v>
      </c>
      <c r="O214" s="5"/>
      <c r="P214" s="35"/>
      <c r="Q214" s="12"/>
      <c r="R214" s="5"/>
      <c r="S214" s="5"/>
      <c r="T214" s="5"/>
      <c r="U214" s="5"/>
      <c r="V214" s="5"/>
      <c r="W214" s="5"/>
      <c r="X214" s="5"/>
      <c r="Y214" s="5"/>
    </row>
    <row r="215" spans="1:25" ht="96.6">
      <c r="A215" s="5" t="s">
        <v>992</v>
      </c>
      <c r="B215" s="5" t="s">
        <v>68</v>
      </c>
      <c r="C215" s="5" t="s">
        <v>993</v>
      </c>
      <c r="D215" s="5">
        <v>172</v>
      </c>
      <c r="E215" s="7" t="s">
        <v>180</v>
      </c>
      <c r="F215" s="5" t="s">
        <v>181</v>
      </c>
      <c r="G215" s="5" t="s">
        <v>462</v>
      </c>
      <c r="H215" s="83">
        <v>4</v>
      </c>
      <c r="I215" s="8">
        <v>44835</v>
      </c>
      <c r="J215" s="8">
        <v>46295</v>
      </c>
      <c r="K215" s="5" t="s">
        <v>29</v>
      </c>
      <c r="L215" s="5" t="s">
        <v>50</v>
      </c>
      <c r="M215" s="28" t="s">
        <v>994</v>
      </c>
      <c r="N215" s="21" t="s">
        <v>52</v>
      </c>
      <c r="O215" s="5"/>
      <c r="P215" s="35" t="s">
        <v>995</v>
      </c>
      <c r="Q215" s="12"/>
      <c r="R215" s="5"/>
      <c r="S215" s="5" t="s">
        <v>996</v>
      </c>
      <c r="T215" s="5" t="s">
        <v>39</v>
      </c>
      <c r="U215" s="16">
        <v>27931</v>
      </c>
      <c r="V215" s="5" t="s">
        <v>997</v>
      </c>
      <c r="W215" s="5" t="s">
        <v>998</v>
      </c>
      <c r="X215" s="6">
        <v>2002</v>
      </c>
      <c r="Y215" s="5"/>
    </row>
    <row r="216" spans="1:25" ht="13.8">
      <c r="A216" s="5" t="s">
        <v>999</v>
      </c>
      <c r="B216" s="5" t="s">
        <v>26</v>
      </c>
      <c r="C216" s="5" t="s">
        <v>27</v>
      </c>
      <c r="D216" s="5">
        <v>124</v>
      </c>
      <c r="E216" s="7" t="s">
        <v>203</v>
      </c>
      <c r="F216" s="5"/>
      <c r="G216" s="5" t="s">
        <v>1000</v>
      </c>
      <c r="H216" s="5">
        <v>4</v>
      </c>
      <c r="I216" s="8">
        <v>44835</v>
      </c>
      <c r="J216" s="8">
        <v>46295</v>
      </c>
      <c r="K216" s="5" t="s">
        <v>29</v>
      </c>
      <c r="L216" s="5" t="s">
        <v>35</v>
      </c>
      <c r="M216" s="28" t="s">
        <v>1001</v>
      </c>
      <c r="N216" s="21" t="s">
        <v>52</v>
      </c>
      <c r="O216" s="5" t="s">
        <v>64</v>
      </c>
      <c r="P216" s="53" t="s">
        <v>1002</v>
      </c>
      <c r="Q216" s="12"/>
      <c r="R216" s="5"/>
      <c r="S216" s="5" t="s">
        <v>1003</v>
      </c>
      <c r="T216" s="5" t="s">
        <v>39</v>
      </c>
      <c r="U216" s="16">
        <v>33642</v>
      </c>
      <c r="V216" s="5" t="s">
        <v>1004</v>
      </c>
      <c r="W216" s="5" t="s">
        <v>40</v>
      </c>
      <c r="X216" s="6">
        <v>2014</v>
      </c>
      <c r="Y216" s="5" t="s">
        <v>41</v>
      </c>
    </row>
    <row r="217" spans="1:25" ht="13.8">
      <c r="A217" s="28" t="s">
        <v>1005</v>
      </c>
      <c r="B217" s="5" t="s">
        <v>26</v>
      </c>
      <c r="C217" s="5" t="s">
        <v>27</v>
      </c>
      <c r="D217" s="29">
        <v>172</v>
      </c>
      <c r="E217" s="30" t="s">
        <v>131</v>
      </c>
      <c r="F217" s="5" t="s">
        <v>238</v>
      </c>
      <c r="G217" s="13" t="s">
        <v>786</v>
      </c>
      <c r="H217" s="5">
        <v>3</v>
      </c>
      <c r="I217" s="8">
        <v>45200</v>
      </c>
      <c r="J217" s="8">
        <v>46660</v>
      </c>
      <c r="K217" s="5" t="s">
        <v>29</v>
      </c>
      <c r="L217" s="5" t="s">
        <v>35</v>
      </c>
      <c r="M217" s="13" t="s">
        <v>1006</v>
      </c>
      <c r="N217" s="5" t="s">
        <v>85</v>
      </c>
      <c r="O217" s="5"/>
      <c r="P217" s="5" t="s">
        <v>1007</v>
      </c>
      <c r="Q217" s="12"/>
      <c r="R217" s="5"/>
      <c r="S217" s="5"/>
      <c r="T217" s="31" t="s">
        <v>39</v>
      </c>
      <c r="U217" s="33">
        <v>36363</v>
      </c>
      <c r="V217" s="5"/>
      <c r="W217" s="5"/>
      <c r="X217" s="5"/>
      <c r="Y217" s="5" t="s">
        <v>136</v>
      </c>
    </row>
    <row r="218" spans="1:25" ht="13.8">
      <c r="A218" s="28" t="s">
        <v>1008</v>
      </c>
      <c r="B218" s="5" t="s">
        <v>26</v>
      </c>
      <c r="C218" s="5" t="s">
        <v>27</v>
      </c>
      <c r="D218" s="29">
        <v>105</v>
      </c>
      <c r="E218" s="30" t="s">
        <v>216</v>
      </c>
      <c r="F218" s="5"/>
      <c r="G218" s="13" t="s">
        <v>1009</v>
      </c>
      <c r="H218" s="5">
        <v>3</v>
      </c>
      <c r="I218" s="8">
        <v>45200</v>
      </c>
      <c r="J218" s="8">
        <v>46660</v>
      </c>
      <c r="K218" s="5" t="s">
        <v>29</v>
      </c>
      <c r="L218" s="5" t="s">
        <v>35</v>
      </c>
      <c r="M218" s="60" t="s">
        <v>1010</v>
      </c>
      <c r="N218" s="5" t="s">
        <v>85</v>
      </c>
      <c r="O218" s="5"/>
      <c r="P218" s="5" t="s">
        <v>1011</v>
      </c>
      <c r="Q218" s="12"/>
      <c r="R218" s="5"/>
      <c r="S218" s="5"/>
      <c r="T218" s="31" t="s">
        <v>39</v>
      </c>
      <c r="U218" s="33">
        <v>29710</v>
      </c>
      <c r="V218" s="5"/>
      <c r="W218" s="5"/>
      <c r="X218" s="5"/>
      <c r="Y218" s="5" t="s">
        <v>220</v>
      </c>
    </row>
    <row r="219" spans="1:25" ht="13.8">
      <c r="A219" s="28" t="s">
        <v>1012</v>
      </c>
      <c r="B219" s="5" t="s">
        <v>68</v>
      </c>
      <c r="C219" s="5" t="s">
        <v>1013</v>
      </c>
      <c r="D219" s="29">
        <v>175</v>
      </c>
      <c r="E219" s="30" t="s">
        <v>146</v>
      </c>
      <c r="F219" s="5" t="s">
        <v>717</v>
      </c>
      <c r="G219" s="13" t="s">
        <v>782</v>
      </c>
      <c r="H219" s="5">
        <v>3</v>
      </c>
      <c r="I219" s="8">
        <v>45200</v>
      </c>
      <c r="J219" s="8">
        <v>47026</v>
      </c>
      <c r="K219" s="5" t="s">
        <v>29</v>
      </c>
      <c r="L219" s="5" t="s">
        <v>35</v>
      </c>
      <c r="M219" s="13" t="s">
        <v>1014</v>
      </c>
      <c r="N219" s="5" t="s">
        <v>85</v>
      </c>
      <c r="O219" s="5"/>
      <c r="P219" s="5" t="s">
        <v>1015</v>
      </c>
      <c r="Q219" s="12"/>
      <c r="R219" s="5"/>
      <c r="S219" s="5" t="s">
        <v>982</v>
      </c>
      <c r="T219" s="31" t="s">
        <v>39</v>
      </c>
      <c r="U219" s="33">
        <v>30057</v>
      </c>
      <c r="V219" s="5"/>
      <c r="W219" s="5"/>
      <c r="X219" s="5"/>
      <c r="Y219" s="5"/>
    </row>
    <row r="220" spans="1:25" ht="13.8">
      <c r="A220" s="28" t="s">
        <v>1016</v>
      </c>
      <c r="B220" s="5" t="s">
        <v>26</v>
      </c>
      <c r="C220" s="5" t="s">
        <v>27</v>
      </c>
      <c r="D220" s="29">
        <v>172</v>
      </c>
      <c r="E220" s="30" t="s">
        <v>278</v>
      </c>
      <c r="F220" s="5"/>
      <c r="G220" s="13" t="s">
        <v>279</v>
      </c>
      <c r="H220" s="5">
        <v>3</v>
      </c>
      <c r="I220" s="8">
        <v>45200</v>
      </c>
      <c r="J220" s="8">
        <v>46660</v>
      </c>
      <c r="K220" s="5" t="s">
        <v>29</v>
      </c>
      <c r="L220" s="5" t="s">
        <v>35</v>
      </c>
      <c r="M220" s="13" t="s">
        <v>1017</v>
      </c>
      <c r="N220" s="5" t="s">
        <v>85</v>
      </c>
      <c r="O220" s="5"/>
      <c r="P220" s="5" t="s">
        <v>1018</v>
      </c>
      <c r="Q220" s="12"/>
      <c r="R220" s="5"/>
      <c r="S220" s="5"/>
      <c r="T220" s="31" t="s">
        <v>39</v>
      </c>
      <c r="U220" s="32">
        <v>36525</v>
      </c>
      <c r="V220" s="5"/>
      <c r="W220" s="5"/>
      <c r="X220" s="5"/>
      <c r="Y220" s="5" t="s">
        <v>266</v>
      </c>
    </row>
    <row r="221" spans="1:25" ht="15">
      <c r="A221" s="5" t="s">
        <v>1019</v>
      </c>
      <c r="B221" s="5" t="s">
        <v>26</v>
      </c>
      <c r="C221" s="5" t="s">
        <v>27</v>
      </c>
      <c r="D221" s="5">
        <v>121</v>
      </c>
      <c r="E221" s="7" t="s">
        <v>77</v>
      </c>
      <c r="F221" s="5"/>
      <c r="G221" s="5" t="s">
        <v>1020</v>
      </c>
      <c r="H221" s="5">
        <v>2</v>
      </c>
      <c r="I221" s="8">
        <v>45566</v>
      </c>
      <c r="J221" s="9">
        <v>47026</v>
      </c>
      <c r="K221" s="5" t="s">
        <v>29</v>
      </c>
      <c r="L221" s="5" t="s">
        <v>141</v>
      </c>
      <c r="M221" s="5" t="s">
        <v>1021</v>
      </c>
      <c r="N221" s="5" t="s">
        <v>143</v>
      </c>
      <c r="O221" s="5"/>
      <c r="P221" s="44" t="s">
        <v>1022</v>
      </c>
      <c r="Q221" s="12"/>
      <c r="R221" s="5"/>
      <c r="S221" s="5"/>
      <c r="T221" s="5" t="s">
        <v>39</v>
      </c>
      <c r="U221" s="8">
        <v>31054</v>
      </c>
      <c r="V221" s="5"/>
      <c r="W221" s="5"/>
      <c r="X221" s="5"/>
      <c r="Y221" s="5" t="s">
        <v>94</v>
      </c>
    </row>
    <row r="222" spans="1:25" ht="13.8">
      <c r="A222" s="5" t="s">
        <v>1023</v>
      </c>
      <c r="B222" s="5" t="s">
        <v>26</v>
      </c>
      <c r="C222" s="5" t="s">
        <v>118</v>
      </c>
      <c r="D222" s="5">
        <v>105</v>
      </c>
      <c r="E222" s="7" t="s">
        <v>216</v>
      </c>
      <c r="F222" s="5"/>
      <c r="G222" s="5" t="s">
        <v>599</v>
      </c>
      <c r="H222" s="5">
        <v>4</v>
      </c>
      <c r="I222" s="8">
        <v>44835</v>
      </c>
      <c r="J222" s="8">
        <v>46295</v>
      </c>
      <c r="K222" s="5" t="s">
        <v>120</v>
      </c>
      <c r="L222" s="5" t="s">
        <v>35</v>
      </c>
      <c r="M222" s="5" t="s">
        <v>1024</v>
      </c>
      <c r="N222" s="5" t="s">
        <v>1025</v>
      </c>
      <c r="O222" s="5" t="s">
        <v>1026</v>
      </c>
      <c r="P222" s="53"/>
      <c r="Q222" s="12"/>
      <c r="R222" s="5"/>
      <c r="S222" s="5" t="s">
        <v>685</v>
      </c>
      <c r="T222" s="5" t="s">
        <v>39</v>
      </c>
      <c r="U222" s="8">
        <v>24013</v>
      </c>
      <c r="V222" s="5"/>
      <c r="W222" s="5"/>
      <c r="X222" s="5"/>
      <c r="Y222" s="5"/>
    </row>
    <row r="223" spans="1:25" ht="15">
      <c r="A223" s="5" t="s">
        <v>1027</v>
      </c>
      <c r="B223" s="5" t="s">
        <v>26</v>
      </c>
      <c r="C223" s="5" t="s">
        <v>27</v>
      </c>
      <c r="D223" s="5">
        <v>175</v>
      </c>
      <c r="E223" s="7" t="s">
        <v>146</v>
      </c>
      <c r="F223" s="5" t="s">
        <v>717</v>
      </c>
      <c r="G223" s="5" t="s">
        <v>379</v>
      </c>
      <c r="H223" s="5">
        <v>2</v>
      </c>
      <c r="I223" s="8">
        <v>45566</v>
      </c>
      <c r="J223" s="9">
        <v>47026</v>
      </c>
      <c r="K223" s="5" t="s">
        <v>29</v>
      </c>
      <c r="L223" s="5" t="s">
        <v>141</v>
      </c>
      <c r="M223" s="5" t="s">
        <v>1028</v>
      </c>
      <c r="N223" s="5" t="s">
        <v>143</v>
      </c>
      <c r="O223" s="5"/>
      <c r="P223" s="44" t="s">
        <v>1029</v>
      </c>
      <c r="Q223" s="12"/>
      <c r="R223" s="5"/>
      <c r="S223" s="5"/>
      <c r="T223" s="5" t="s">
        <v>39</v>
      </c>
      <c r="U223" s="36">
        <v>30981</v>
      </c>
      <c r="V223" s="5"/>
      <c r="W223" s="5"/>
      <c r="X223" s="5"/>
      <c r="Y223" s="5"/>
    </row>
    <row r="224" spans="1:25" ht="13.8">
      <c r="A224" s="13" t="s">
        <v>1030</v>
      </c>
      <c r="B224" s="5" t="s">
        <v>26</v>
      </c>
      <c r="C224" s="5" t="s">
        <v>27</v>
      </c>
      <c r="D224" s="5">
        <v>113</v>
      </c>
      <c r="E224" s="7" t="s">
        <v>203</v>
      </c>
      <c r="F224" s="5"/>
      <c r="G224" s="5" t="s">
        <v>563</v>
      </c>
      <c r="H224" s="5">
        <v>3</v>
      </c>
      <c r="I224" s="8">
        <v>45047</v>
      </c>
      <c r="J224" s="8">
        <v>46507</v>
      </c>
      <c r="K224" s="5" t="s">
        <v>29</v>
      </c>
      <c r="L224" s="5" t="s">
        <v>35</v>
      </c>
      <c r="M224" s="53" t="s">
        <v>1031</v>
      </c>
      <c r="N224" s="12" t="s">
        <v>37</v>
      </c>
      <c r="O224" s="5"/>
      <c r="P224" s="74" t="s">
        <v>1032</v>
      </c>
      <c r="Q224" s="12"/>
      <c r="R224" s="5"/>
      <c r="S224" s="5" t="s">
        <v>1033</v>
      </c>
      <c r="T224" s="5" t="s">
        <v>39</v>
      </c>
      <c r="U224" s="16">
        <v>36047</v>
      </c>
      <c r="V224" s="5" t="s">
        <v>1034</v>
      </c>
      <c r="W224" s="5" t="s">
        <v>40</v>
      </c>
      <c r="X224" s="6">
        <v>2021</v>
      </c>
      <c r="Y224" s="5" t="s">
        <v>41</v>
      </c>
    </row>
    <row r="225" spans="1:25" ht="20.25" customHeight="1">
      <c r="A225" s="5" t="s">
        <v>1035</v>
      </c>
      <c r="B225" s="5" t="s">
        <v>26</v>
      </c>
      <c r="C225" s="5" t="s">
        <v>27</v>
      </c>
      <c r="D225" s="5">
        <v>123</v>
      </c>
      <c r="E225" s="7" t="s">
        <v>249</v>
      </c>
      <c r="F225" s="5" t="s">
        <v>250</v>
      </c>
      <c r="G225" s="5" t="s">
        <v>1036</v>
      </c>
      <c r="H225" s="5">
        <v>4</v>
      </c>
      <c r="I225" s="8">
        <v>44835</v>
      </c>
      <c r="J225" s="8">
        <v>46295</v>
      </c>
      <c r="K225" s="5" t="s">
        <v>29</v>
      </c>
      <c r="L225" s="5" t="s">
        <v>50</v>
      </c>
      <c r="M225" s="60" t="s">
        <v>1037</v>
      </c>
      <c r="N225" s="21" t="s">
        <v>52</v>
      </c>
      <c r="O225" s="5" t="s">
        <v>64</v>
      </c>
      <c r="P225" s="53" t="s">
        <v>1038</v>
      </c>
      <c r="Q225" s="12"/>
      <c r="R225" s="5"/>
      <c r="S225" s="5" t="s">
        <v>1039</v>
      </c>
      <c r="T225" s="5" t="s">
        <v>39</v>
      </c>
      <c r="U225" s="16">
        <v>36383</v>
      </c>
      <c r="V225" s="5" t="s">
        <v>1040</v>
      </c>
      <c r="W225" s="5" t="s">
        <v>40</v>
      </c>
      <c r="X225" s="6">
        <v>2022</v>
      </c>
      <c r="Y225" s="5" t="s">
        <v>299</v>
      </c>
    </row>
    <row r="226" spans="1:25" ht="13.8">
      <c r="A226" s="28" t="s">
        <v>1041</v>
      </c>
      <c r="B226" s="5" t="s">
        <v>26</v>
      </c>
      <c r="C226" s="5" t="s">
        <v>27</v>
      </c>
      <c r="D226" s="29">
        <v>123</v>
      </c>
      <c r="E226" s="30" t="s">
        <v>80</v>
      </c>
      <c r="F226" s="5" t="s">
        <v>81</v>
      </c>
      <c r="G226" s="13" t="s">
        <v>676</v>
      </c>
      <c r="H226" s="5">
        <v>3</v>
      </c>
      <c r="I226" s="8">
        <v>45200</v>
      </c>
      <c r="J226" s="8">
        <v>46660</v>
      </c>
      <c r="K226" s="5" t="s">
        <v>29</v>
      </c>
      <c r="L226" s="5" t="s">
        <v>35</v>
      </c>
      <c r="M226" s="13" t="s">
        <v>1042</v>
      </c>
      <c r="N226" s="5" t="s">
        <v>85</v>
      </c>
      <c r="O226" s="5"/>
      <c r="P226" s="5" t="s">
        <v>1043</v>
      </c>
      <c r="Q226" s="12"/>
      <c r="R226" s="5"/>
      <c r="S226" s="5"/>
      <c r="T226" s="31" t="s">
        <v>39</v>
      </c>
      <c r="U226" s="33">
        <v>36587</v>
      </c>
      <c r="V226" s="5"/>
      <c r="W226" s="5"/>
      <c r="X226" s="5"/>
      <c r="Y226" s="5" t="s">
        <v>88</v>
      </c>
    </row>
    <row r="227" spans="1:25" ht="13.8">
      <c r="A227" s="28" t="s">
        <v>1044</v>
      </c>
      <c r="B227" s="5" t="s">
        <v>26</v>
      </c>
      <c r="C227" s="5" t="s">
        <v>27</v>
      </c>
      <c r="D227" s="29">
        <v>122</v>
      </c>
      <c r="E227" s="30" t="s">
        <v>28</v>
      </c>
      <c r="F227" s="5"/>
      <c r="G227" s="13" t="s">
        <v>726</v>
      </c>
      <c r="H227" s="5">
        <v>3</v>
      </c>
      <c r="I227" s="8">
        <v>45200</v>
      </c>
      <c r="J227" s="8">
        <v>46660</v>
      </c>
      <c r="K227" s="5" t="s">
        <v>29</v>
      </c>
      <c r="L227" s="5" t="s">
        <v>35</v>
      </c>
      <c r="M227" s="13" t="s">
        <v>1045</v>
      </c>
      <c r="N227" s="5" t="s">
        <v>85</v>
      </c>
      <c r="O227" s="5"/>
      <c r="P227" s="5" t="s">
        <v>1046</v>
      </c>
      <c r="Q227" s="12"/>
      <c r="R227" s="5"/>
      <c r="S227" s="5"/>
      <c r="T227" s="31" t="s">
        <v>39</v>
      </c>
      <c r="U227" s="33">
        <v>27947</v>
      </c>
      <c r="V227" s="5"/>
      <c r="W227" s="5"/>
      <c r="X227" s="5"/>
      <c r="Y227" s="5" t="s">
        <v>31</v>
      </c>
    </row>
    <row r="228" spans="1:25" ht="13.8">
      <c r="A228" s="5" t="s">
        <v>1047</v>
      </c>
      <c r="B228" s="5" t="s">
        <v>26</v>
      </c>
      <c r="C228" s="5" t="s">
        <v>27</v>
      </c>
      <c r="D228" s="5">
        <v>171</v>
      </c>
      <c r="E228" s="7" t="s">
        <v>262</v>
      </c>
      <c r="F228" s="5"/>
      <c r="G228" s="5" t="s">
        <v>1048</v>
      </c>
      <c r="H228" s="5">
        <v>4</v>
      </c>
      <c r="I228" s="8">
        <v>44835</v>
      </c>
      <c r="J228" s="8">
        <v>46295</v>
      </c>
      <c r="K228" s="5" t="s">
        <v>29</v>
      </c>
      <c r="L228" s="5" t="s">
        <v>35</v>
      </c>
      <c r="M228" s="60" t="s">
        <v>1049</v>
      </c>
      <c r="N228" s="21" t="s">
        <v>52</v>
      </c>
      <c r="O228" s="5" t="s">
        <v>64</v>
      </c>
      <c r="P228" s="53" t="s">
        <v>1050</v>
      </c>
      <c r="Q228" s="12"/>
      <c r="R228" s="5"/>
      <c r="S228" s="5" t="s">
        <v>1051</v>
      </c>
      <c r="T228" s="5" t="s">
        <v>39</v>
      </c>
      <c r="U228" s="16">
        <v>35744</v>
      </c>
      <c r="V228" s="50" t="s">
        <v>1052</v>
      </c>
      <c r="W228" s="5" t="s">
        <v>40</v>
      </c>
      <c r="X228" s="6">
        <v>2022</v>
      </c>
      <c r="Y228" s="5" t="s">
        <v>266</v>
      </c>
    </row>
    <row r="229" spans="1:25" ht="15">
      <c r="A229" s="5" t="s">
        <v>1053</v>
      </c>
      <c r="B229" s="5" t="s">
        <v>26</v>
      </c>
      <c r="C229" s="5" t="s">
        <v>27</v>
      </c>
      <c r="D229" s="5">
        <v>163</v>
      </c>
      <c r="E229" s="7" t="s">
        <v>90</v>
      </c>
      <c r="F229" s="5"/>
      <c r="G229" s="5" t="s">
        <v>1054</v>
      </c>
      <c r="H229" s="5">
        <v>2</v>
      </c>
      <c r="I229" s="8">
        <v>45566</v>
      </c>
      <c r="J229" s="9">
        <v>47026</v>
      </c>
      <c r="K229" s="5" t="s">
        <v>29</v>
      </c>
      <c r="L229" s="5" t="s">
        <v>141</v>
      </c>
      <c r="M229" s="5" t="s">
        <v>1055</v>
      </c>
      <c r="N229" s="5" t="s">
        <v>143</v>
      </c>
      <c r="O229" s="5"/>
      <c r="P229" s="44" t="s">
        <v>1056</v>
      </c>
      <c r="Q229" s="12"/>
      <c r="R229" s="5"/>
      <c r="S229" s="5"/>
      <c r="T229" s="5" t="s">
        <v>39</v>
      </c>
      <c r="U229" s="8">
        <v>33447</v>
      </c>
      <c r="V229" s="5"/>
      <c r="W229" s="5"/>
      <c r="X229" s="5"/>
      <c r="Y229" s="5" t="s">
        <v>94</v>
      </c>
    </row>
    <row r="230" spans="1:25" ht="13.8">
      <c r="A230" s="28" t="s">
        <v>1057</v>
      </c>
      <c r="B230" s="5" t="s">
        <v>26</v>
      </c>
      <c r="C230" s="5" t="s">
        <v>27</v>
      </c>
      <c r="D230" s="29">
        <v>171</v>
      </c>
      <c r="E230" s="30" t="s">
        <v>115</v>
      </c>
      <c r="F230" s="5"/>
      <c r="G230" s="13" t="s">
        <v>599</v>
      </c>
      <c r="H230" s="5">
        <v>3</v>
      </c>
      <c r="I230" s="8">
        <v>45200</v>
      </c>
      <c r="J230" s="8">
        <v>46660</v>
      </c>
      <c r="K230" s="5" t="s">
        <v>29</v>
      </c>
      <c r="L230" s="5" t="s">
        <v>50</v>
      </c>
      <c r="M230" s="13" t="s">
        <v>1058</v>
      </c>
      <c r="N230" s="5" t="s">
        <v>85</v>
      </c>
      <c r="O230" s="5"/>
      <c r="P230" s="5" t="s">
        <v>1059</v>
      </c>
      <c r="Q230" s="12"/>
      <c r="R230" s="5"/>
      <c r="S230" s="5"/>
      <c r="T230" s="31" t="s">
        <v>39</v>
      </c>
      <c r="U230" s="33">
        <v>32514</v>
      </c>
      <c r="V230" s="5"/>
      <c r="W230" s="5"/>
      <c r="X230" s="5"/>
      <c r="Y230" s="5" t="s">
        <v>160</v>
      </c>
    </row>
    <row r="231" spans="1:25" ht="15">
      <c r="A231" s="5" t="s">
        <v>1060</v>
      </c>
      <c r="B231" s="5" t="s">
        <v>26</v>
      </c>
      <c r="C231" s="5" t="s">
        <v>27</v>
      </c>
      <c r="D231" s="5">
        <v>172</v>
      </c>
      <c r="E231" s="7" t="s">
        <v>180</v>
      </c>
      <c r="F231" s="5" t="s">
        <v>181</v>
      </c>
      <c r="G231" s="5" t="s">
        <v>1061</v>
      </c>
      <c r="H231" s="5">
        <v>2</v>
      </c>
      <c r="I231" s="8">
        <v>45566</v>
      </c>
      <c r="J231" s="9">
        <v>47026</v>
      </c>
      <c r="K231" s="5" t="s">
        <v>29</v>
      </c>
      <c r="L231" s="5" t="s">
        <v>141</v>
      </c>
      <c r="M231" s="84" t="s">
        <v>1062</v>
      </c>
      <c r="N231" s="5" t="s">
        <v>143</v>
      </c>
      <c r="O231" s="5"/>
      <c r="P231" s="44" t="s">
        <v>1063</v>
      </c>
      <c r="Q231" s="12"/>
      <c r="R231" s="5"/>
      <c r="S231" s="5"/>
      <c r="T231" s="5" t="s">
        <v>39</v>
      </c>
      <c r="U231" s="36">
        <v>36117</v>
      </c>
      <c r="V231" s="5"/>
      <c r="W231" s="5"/>
      <c r="X231" s="5"/>
      <c r="Y231" s="85"/>
    </row>
    <row r="232" spans="1:25" ht="13.8">
      <c r="A232" s="5" t="s">
        <v>1064</v>
      </c>
      <c r="B232" s="5" t="s">
        <v>26</v>
      </c>
      <c r="C232" s="5" t="s">
        <v>27</v>
      </c>
      <c r="D232" s="5">
        <v>121</v>
      </c>
      <c r="E232" s="7" t="s">
        <v>77</v>
      </c>
      <c r="F232" s="5"/>
      <c r="G232" s="5" t="s">
        <v>1065</v>
      </c>
      <c r="H232" s="5">
        <v>4</v>
      </c>
      <c r="I232" s="8">
        <v>44835</v>
      </c>
      <c r="J232" s="8">
        <v>46295</v>
      </c>
      <c r="K232" s="5" t="s">
        <v>508</v>
      </c>
      <c r="L232" s="5" t="s">
        <v>50</v>
      </c>
      <c r="M232" s="28" t="s">
        <v>1066</v>
      </c>
      <c r="N232" s="21" t="s">
        <v>52</v>
      </c>
      <c r="O232" s="5" t="s">
        <v>64</v>
      </c>
      <c r="P232" s="53" t="s">
        <v>1067</v>
      </c>
      <c r="Q232" s="12"/>
      <c r="R232" s="5"/>
      <c r="S232" s="5"/>
      <c r="T232" s="5" t="s">
        <v>39</v>
      </c>
      <c r="U232" s="16">
        <v>31508</v>
      </c>
      <c r="V232" s="5" t="s">
        <v>1068</v>
      </c>
      <c r="W232" s="5" t="s">
        <v>416</v>
      </c>
      <c r="X232" s="6">
        <v>2009</v>
      </c>
      <c r="Y232" s="5" t="s">
        <v>94</v>
      </c>
    </row>
    <row r="233" spans="1:25" ht="15">
      <c r="A233" s="5" t="s">
        <v>1069</v>
      </c>
      <c r="B233" s="5" t="s">
        <v>26</v>
      </c>
      <c r="C233" s="5" t="s">
        <v>118</v>
      </c>
      <c r="D233" s="5">
        <v>113</v>
      </c>
      <c r="E233" s="7" t="s">
        <v>203</v>
      </c>
      <c r="F233" s="5"/>
      <c r="G233" s="5" t="s">
        <v>1070</v>
      </c>
      <c r="H233" s="5">
        <v>2</v>
      </c>
      <c r="I233" s="8">
        <v>45566</v>
      </c>
      <c r="J233" s="9">
        <v>47026</v>
      </c>
      <c r="K233" s="5" t="s">
        <v>120</v>
      </c>
      <c r="L233" s="5" t="s">
        <v>35</v>
      </c>
      <c r="M233" s="5" t="s">
        <v>1071</v>
      </c>
      <c r="N233" s="5" t="s">
        <v>211</v>
      </c>
      <c r="O233" s="5" t="s">
        <v>184</v>
      </c>
      <c r="P233" s="44" t="s">
        <v>1072</v>
      </c>
      <c r="Q233" s="12"/>
      <c r="R233" s="5"/>
      <c r="S233" s="5"/>
      <c r="T233" s="5" t="s">
        <v>39</v>
      </c>
      <c r="U233" s="8">
        <v>33262</v>
      </c>
      <c r="V233" s="5"/>
      <c r="W233" s="5"/>
      <c r="X233" s="5"/>
      <c r="Y233" s="5"/>
    </row>
    <row r="234" spans="1:25" ht="13.8">
      <c r="A234" s="13" t="s">
        <v>1073</v>
      </c>
      <c r="B234" s="5" t="s">
        <v>26</v>
      </c>
      <c r="C234" s="5" t="s">
        <v>27</v>
      </c>
      <c r="D234" s="29">
        <v>122</v>
      </c>
      <c r="E234" s="30" t="s">
        <v>124</v>
      </c>
      <c r="F234" s="5" t="s">
        <v>125</v>
      </c>
      <c r="G234" s="13" t="s">
        <v>126</v>
      </c>
      <c r="H234" s="5">
        <v>2</v>
      </c>
      <c r="I234" s="8">
        <v>45231</v>
      </c>
      <c r="J234" s="36">
        <v>46691</v>
      </c>
      <c r="K234" s="5" t="s">
        <v>29</v>
      </c>
      <c r="L234" s="5" t="s">
        <v>35</v>
      </c>
      <c r="M234" s="13" t="s">
        <v>1074</v>
      </c>
      <c r="N234" s="37" t="s">
        <v>128</v>
      </c>
      <c r="O234" s="5"/>
      <c r="P234" s="5" t="s">
        <v>1075</v>
      </c>
      <c r="Q234" s="12"/>
      <c r="R234" s="5"/>
      <c r="S234" s="5"/>
      <c r="T234" s="37" t="s">
        <v>39</v>
      </c>
      <c r="U234" s="32">
        <v>35021</v>
      </c>
      <c r="V234" s="5"/>
      <c r="W234" s="5"/>
      <c r="X234" s="5"/>
      <c r="Y234" s="5" t="s">
        <v>266</v>
      </c>
    </row>
    <row r="235" spans="1:25" ht="13.8">
      <c r="A235" s="13" t="s">
        <v>1076</v>
      </c>
      <c r="B235" s="5" t="s">
        <v>26</v>
      </c>
      <c r="C235" s="5" t="s">
        <v>27</v>
      </c>
      <c r="D235" s="5">
        <v>122</v>
      </c>
      <c r="E235" s="7" t="s">
        <v>294</v>
      </c>
      <c r="F235" s="5" t="s">
        <v>295</v>
      </c>
      <c r="G235" s="5" t="s">
        <v>672</v>
      </c>
      <c r="H235" s="5">
        <v>3</v>
      </c>
      <c r="I235" s="8">
        <v>45047</v>
      </c>
      <c r="J235" s="8">
        <v>46507</v>
      </c>
      <c r="K235" s="5" t="s">
        <v>29</v>
      </c>
      <c r="L235" s="5" t="s">
        <v>35</v>
      </c>
      <c r="M235" s="60" t="s">
        <v>1077</v>
      </c>
      <c r="N235" s="12" t="s">
        <v>37</v>
      </c>
      <c r="O235" s="5"/>
      <c r="P235" s="86" t="s">
        <v>1078</v>
      </c>
      <c r="Q235" s="12"/>
      <c r="R235" s="5"/>
      <c r="S235" s="5"/>
      <c r="T235" s="5" t="s">
        <v>39</v>
      </c>
      <c r="U235" s="16">
        <v>35142</v>
      </c>
      <c r="V235" s="87">
        <v>380669610841</v>
      </c>
      <c r="W235" s="5" t="s">
        <v>40</v>
      </c>
      <c r="X235" s="6">
        <v>2022</v>
      </c>
      <c r="Y235" s="5" t="s">
        <v>299</v>
      </c>
    </row>
    <row r="236" spans="1:25" ht="13.8">
      <c r="A236" s="13" t="s">
        <v>1079</v>
      </c>
      <c r="B236" s="5" t="s">
        <v>26</v>
      </c>
      <c r="C236" s="5" t="s">
        <v>27</v>
      </c>
      <c r="D236" s="6" t="s">
        <v>114</v>
      </c>
      <c r="E236" s="7" t="s">
        <v>131</v>
      </c>
      <c r="F236" s="5"/>
      <c r="G236" s="5"/>
      <c r="H236" s="5">
        <v>1</v>
      </c>
      <c r="I236" s="8">
        <v>45931</v>
      </c>
      <c r="J236" s="8">
        <v>47391</v>
      </c>
      <c r="K236" s="5" t="s">
        <v>29</v>
      </c>
      <c r="L236" s="5" t="s">
        <v>30</v>
      </c>
      <c r="M236" s="34" t="s">
        <v>1080</v>
      </c>
      <c r="N236" s="5" t="s">
        <v>45</v>
      </c>
      <c r="O236" s="5"/>
      <c r="P236" s="35"/>
      <c r="Q236" s="12"/>
      <c r="R236" s="5"/>
      <c r="S236" s="5" t="s">
        <v>1081</v>
      </c>
      <c r="T236" s="5" t="s">
        <v>39</v>
      </c>
      <c r="U236" s="8">
        <v>30462</v>
      </c>
      <c r="V236" s="5"/>
      <c r="W236" s="5"/>
      <c r="X236" s="5"/>
      <c r="Y236" s="5"/>
    </row>
    <row r="237" spans="1:25" ht="15">
      <c r="A237" s="5" t="s">
        <v>1082</v>
      </c>
      <c r="B237" s="5" t="s">
        <v>26</v>
      </c>
      <c r="C237" s="5" t="s">
        <v>27</v>
      </c>
      <c r="D237" s="5">
        <v>174</v>
      </c>
      <c r="E237" s="7" t="s">
        <v>138</v>
      </c>
      <c r="F237" s="5" t="s">
        <v>139</v>
      </c>
      <c r="G237" s="5" t="s">
        <v>1083</v>
      </c>
      <c r="H237" s="5">
        <v>2</v>
      </c>
      <c r="I237" s="8">
        <v>45566</v>
      </c>
      <c r="J237" s="9">
        <v>47026</v>
      </c>
      <c r="K237" s="5" t="s">
        <v>29</v>
      </c>
      <c r="L237" s="5" t="s">
        <v>141</v>
      </c>
      <c r="M237" s="5" t="s">
        <v>1084</v>
      </c>
      <c r="N237" s="5" t="s">
        <v>143</v>
      </c>
      <c r="O237" s="5"/>
      <c r="P237" s="44" t="s">
        <v>1085</v>
      </c>
      <c r="Q237" s="12"/>
      <c r="R237" s="5"/>
      <c r="S237" s="5"/>
      <c r="T237" s="5" t="s">
        <v>39</v>
      </c>
      <c r="U237" s="8">
        <v>36028</v>
      </c>
      <c r="V237" s="5"/>
      <c r="W237" s="5"/>
      <c r="X237" s="5"/>
      <c r="Y237" s="5"/>
    </row>
    <row r="238" spans="1:25" ht="13.8">
      <c r="A238" s="13" t="s">
        <v>1086</v>
      </c>
      <c r="B238" s="5" t="s">
        <v>26</v>
      </c>
      <c r="C238" s="5" t="s">
        <v>27</v>
      </c>
      <c r="D238" s="6" t="s">
        <v>43</v>
      </c>
      <c r="E238" s="7"/>
      <c r="F238" s="5"/>
      <c r="G238" s="5"/>
      <c r="H238" s="5">
        <v>1</v>
      </c>
      <c r="I238" s="8">
        <v>45931</v>
      </c>
      <c r="J238" s="8">
        <v>47391</v>
      </c>
      <c r="K238" s="5" t="s">
        <v>29</v>
      </c>
      <c r="L238" s="5" t="s">
        <v>30</v>
      </c>
      <c r="M238" s="34" t="s">
        <v>1087</v>
      </c>
      <c r="N238" s="5" t="s">
        <v>45</v>
      </c>
      <c r="O238" s="5"/>
      <c r="P238" s="35"/>
      <c r="Q238" s="12"/>
      <c r="R238" s="5"/>
      <c r="S238" s="5"/>
      <c r="T238" s="5"/>
      <c r="U238" s="5"/>
      <c r="V238" s="5"/>
      <c r="W238" s="5"/>
      <c r="X238" s="5"/>
      <c r="Y238" s="5"/>
    </row>
    <row r="239" spans="1:25" ht="13.8">
      <c r="A239" s="5" t="s">
        <v>1088</v>
      </c>
      <c r="B239" s="5" t="s">
        <v>26</v>
      </c>
      <c r="C239" s="5" t="s">
        <v>27</v>
      </c>
      <c r="D239" s="5">
        <v>51</v>
      </c>
      <c r="E239" s="7" t="s">
        <v>192</v>
      </c>
      <c r="F239" s="5" t="s">
        <v>193</v>
      </c>
      <c r="G239" s="5" t="s">
        <v>1089</v>
      </c>
      <c r="H239" s="5">
        <v>4</v>
      </c>
      <c r="I239" s="8">
        <v>44835</v>
      </c>
      <c r="J239" s="8">
        <v>46295</v>
      </c>
      <c r="K239" s="5" t="s">
        <v>29</v>
      </c>
      <c r="L239" s="5" t="s">
        <v>35</v>
      </c>
      <c r="M239" s="28" t="s">
        <v>1090</v>
      </c>
      <c r="N239" s="21" t="s">
        <v>52</v>
      </c>
      <c r="O239" s="5" t="s">
        <v>64</v>
      </c>
      <c r="P239" s="53" t="s">
        <v>1091</v>
      </c>
      <c r="Q239" s="12"/>
      <c r="R239" s="5"/>
      <c r="S239" s="5"/>
      <c r="T239" s="5" t="s">
        <v>39</v>
      </c>
      <c r="U239" s="16">
        <v>34285</v>
      </c>
      <c r="V239" s="5" t="s">
        <v>1092</v>
      </c>
      <c r="W239" s="5" t="s">
        <v>40</v>
      </c>
      <c r="X239" s="6">
        <v>2016</v>
      </c>
      <c r="Y239" s="5" t="s">
        <v>41</v>
      </c>
    </row>
    <row r="240" spans="1:25" ht="15">
      <c r="A240" s="5" t="s">
        <v>1093</v>
      </c>
      <c r="B240" s="5" t="s">
        <v>68</v>
      </c>
      <c r="C240" s="5" t="s">
        <v>1013</v>
      </c>
      <c r="D240" s="5">
        <v>123</v>
      </c>
      <c r="E240" s="7" t="s">
        <v>249</v>
      </c>
      <c r="F240" s="5"/>
      <c r="G240" s="44" t="s">
        <v>1094</v>
      </c>
      <c r="H240" s="83">
        <v>1</v>
      </c>
      <c r="I240" s="8">
        <v>45566</v>
      </c>
      <c r="J240" s="9">
        <v>47391</v>
      </c>
      <c r="K240" s="5" t="s">
        <v>83</v>
      </c>
      <c r="L240" s="5" t="s">
        <v>35</v>
      </c>
      <c r="M240" s="5" t="s">
        <v>1095</v>
      </c>
      <c r="N240" s="5" t="s">
        <v>143</v>
      </c>
      <c r="O240" s="5"/>
      <c r="P240" s="35"/>
      <c r="Q240" s="12"/>
      <c r="R240" s="5"/>
      <c r="S240" s="5"/>
      <c r="T240" s="5"/>
      <c r="U240" s="5"/>
      <c r="V240" s="5"/>
      <c r="W240" s="5"/>
      <c r="X240" s="5"/>
      <c r="Y240" s="5"/>
    </row>
    <row r="241" spans="1:25" ht="13.8">
      <c r="A241" s="13" t="s">
        <v>1096</v>
      </c>
      <c r="B241" s="5" t="s">
        <v>26</v>
      </c>
      <c r="C241" s="5" t="s">
        <v>27</v>
      </c>
      <c r="D241" s="6" t="s">
        <v>43</v>
      </c>
      <c r="E241" s="7"/>
      <c r="F241" s="5"/>
      <c r="G241" s="5"/>
      <c r="H241" s="5">
        <v>1</v>
      </c>
      <c r="I241" s="8">
        <v>45931</v>
      </c>
      <c r="J241" s="8">
        <v>47391</v>
      </c>
      <c r="K241" s="5" t="s">
        <v>29</v>
      </c>
      <c r="L241" s="5" t="s">
        <v>30</v>
      </c>
      <c r="M241" s="34" t="s">
        <v>1097</v>
      </c>
      <c r="N241" s="5" t="s">
        <v>45</v>
      </c>
      <c r="O241" s="5"/>
      <c r="P241" s="35"/>
      <c r="Q241" s="12"/>
      <c r="R241" s="5"/>
      <c r="S241" s="5"/>
      <c r="T241" s="5"/>
      <c r="U241" s="5"/>
      <c r="V241" s="5"/>
      <c r="W241" s="5"/>
      <c r="X241" s="5"/>
      <c r="Y241" s="5"/>
    </row>
    <row r="242" spans="1:25" ht="13.8">
      <c r="A242" s="13" t="s">
        <v>1098</v>
      </c>
      <c r="B242" s="5" t="s">
        <v>26</v>
      </c>
      <c r="C242" s="5" t="s">
        <v>27</v>
      </c>
      <c r="D242" s="6" t="s">
        <v>385</v>
      </c>
      <c r="E242" s="7" t="s">
        <v>90</v>
      </c>
      <c r="F242" s="5"/>
      <c r="G242" s="5"/>
      <c r="H242" s="5">
        <v>1</v>
      </c>
      <c r="I242" s="8">
        <v>45931</v>
      </c>
      <c r="J242" s="8">
        <v>47391</v>
      </c>
      <c r="K242" s="5" t="s">
        <v>29</v>
      </c>
      <c r="L242" s="5" t="s">
        <v>30</v>
      </c>
      <c r="M242" s="34" t="s">
        <v>1099</v>
      </c>
      <c r="N242" s="5" t="s">
        <v>45</v>
      </c>
      <c r="O242" s="5"/>
      <c r="P242" s="35"/>
      <c r="Q242" s="12"/>
      <c r="R242" s="5"/>
      <c r="S242" s="5"/>
      <c r="T242" s="5"/>
      <c r="U242" s="5"/>
      <c r="V242" s="5"/>
      <c r="W242" s="5"/>
      <c r="X242" s="5"/>
      <c r="Y242" s="5"/>
    </row>
    <row r="243" spans="1:25" ht="15">
      <c r="A243" s="5" t="s">
        <v>1100</v>
      </c>
      <c r="B243" s="5" t="s">
        <v>26</v>
      </c>
      <c r="C243" s="5" t="s">
        <v>118</v>
      </c>
      <c r="D243" s="5">
        <v>123</v>
      </c>
      <c r="E243" s="7" t="s">
        <v>249</v>
      </c>
      <c r="F243" s="5" t="s">
        <v>250</v>
      </c>
      <c r="G243" s="44" t="s">
        <v>251</v>
      </c>
      <c r="H243" s="5">
        <v>2</v>
      </c>
      <c r="I243" s="8">
        <v>45566</v>
      </c>
      <c r="J243" s="9">
        <v>47026</v>
      </c>
      <c r="K243" s="5" t="s">
        <v>120</v>
      </c>
      <c r="L243" s="5" t="s">
        <v>35</v>
      </c>
      <c r="M243" s="5" t="s">
        <v>1101</v>
      </c>
      <c r="N243" s="5" t="s">
        <v>211</v>
      </c>
      <c r="O243" s="5"/>
      <c r="P243" s="44" t="s">
        <v>1102</v>
      </c>
      <c r="Q243" s="12"/>
      <c r="R243" s="5"/>
      <c r="S243" s="5"/>
      <c r="T243" s="5" t="s">
        <v>39</v>
      </c>
      <c r="U243" s="8">
        <v>37091</v>
      </c>
      <c r="V243" s="5"/>
      <c r="W243" s="5"/>
      <c r="X243" s="5"/>
      <c r="Y243" s="5"/>
    </row>
    <row r="244" spans="1:25" ht="13.8">
      <c r="A244" s="13" t="s">
        <v>1103</v>
      </c>
      <c r="B244" s="5" t="s">
        <v>26</v>
      </c>
      <c r="C244" s="5" t="s">
        <v>27</v>
      </c>
      <c r="D244" s="6" t="s">
        <v>103</v>
      </c>
      <c r="E244" s="7" t="s">
        <v>104</v>
      </c>
      <c r="F244" s="5"/>
      <c r="G244" s="5"/>
      <c r="H244" s="5">
        <v>1</v>
      </c>
      <c r="I244" s="8">
        <v>45931</v>
      </c>
      <c r="J244" s="8">
        <v>47391</v>
      </c>
      <c r="K244" s="5" t="s">
        <v>29</v>
      </c>
      <c r="L244" s="5" t="s">
        <v>30</v>
      </c>
      <c r="M244" s="34" t="s">
        <v>1104</v>
      </c>
      <c r="N244" s="5" t="s">
        <v>45</v>
      </c>
      <c r="O244" s="5"/>
      <c r="P244" s="35"/>
      <c r="Q244" s="12"/>
      <c r="R244" s="5"/>
      <c r="S244" s="5"/>
      <c r="T244" s="5"/>
      <c r="U244" s="5"/>
      <c r="V244" s="5"/>
      <c r="W244" s="5"/>
      <c r="X244" s="5"/>
      <c r="Y244" s="5"/>
    </row>
    <row r="245" spans="1:25" ht="15">
      <c r="A245" s="5" t="s">
        <v>1105</v>
      </c>
      <c r="B245" s="5" t="s">
        <v>26</v>
      </c>
      <c r="C245" s="5" t="s">
        <v>27</v>
      </c>
      <c r="D245" s="5">
        <v>125</v>
      </c>
      <c r="E245" s="7" t="s">
        <v>131</v>
      </c>
      <c r="F245" s="5" t="s">
        <v>238</v>
      </c>
      <c r="G245" s="5" t="s">
        <v>133</v>
      </c>
      <c r="H245" s="5">
        <v>2</v>
      </c>
      <c r="I245" s="8">
        <v>45566</v>
      </c>
      <c r="J245" s="9">
        <v>47026</v>
      </c>
      <c r="K245" s="5" t="s">
        <v>29</v>
      </c>
      <c r="L245" s="5" t="s">
        <v>141</v>
      </c>
      <c r="M245" s="5" t="s">
        <v>1106</v>
      </c>
      <c r="N245" s="5" t="s">
        <v>143</v>
      </c>
      <c r="O245" s="5"/>
      <c r="P245" s="44" t="s">
        <v>1107</v>
      </c>
      <c r="Q245" s="12"/>
      <c r="R245" s="5"/>
      <c r="S245" s="5"/>
      <c r="T245" s="5" t="s">
        <v>39</v>
      </c>
      <c r="U245" s="8">
        <v>37005</v>
      </c>
      <c r="V245" s="5"/>
      <c r="W245" s="5"/>
      <c r="X245" s="5"/>
      <c r="Y245" s="5" t="s">
        <v>136</v>
      </c>
    </row>
    <row r="246" spans="1:25" ht="15">
      <c r="A246" s="5" t="s">
        <v>1108</v>
      </c>
      <c r="B246" s="5" t="s">
        <v>26</v>
      </c>
      <c r="C246" s="5" t="s">
        <v>27</v>
      </c>
      <c r="D246" s="5">
        <v>172</v>
      </c>
      <c r="E246" s="7" t="s">
        <v>180</v>
      </c>
      <c r="F246" s="5" t="s">
        <v>181</v>
      </c>
      <c r="G246" s="5" t="s">
        <v>1061</v>
      </c>
      <c r="H246" s="5">
        <v>2</v>
      </c>
      <c r="I246" s="8">
        <v>45566</v>
      </c>
      <c r="J246" s="9">
        <v>47026</v>
      </c>
      <c r="K246" s="5" t="s">
        <v>29</v>
      </c>
      <c r="L246" s="5" t="s">
        <v>141</v>
      </c>
      <c r="M246" s="66" t="s">
        <v>1109</v>
      </c>
      <c r="N246" s="5" t="s">
        <v>143</v>
      </c>
      <c r="O246" s="5"/>
      <c r="P246" s="44" t="s">
        <v>1110</v>
      </c>
      <c r="Q246" s="12"/>
      <c r="R246" s="5"/>
      <c r="S246" s="5"/>
      <c r="T246" s="5" t="s">
        <v>39</v>
      </c>
      <c r="U246" s="8">
        <v>35941</v>
      </c>
      <c r="V246" s="5"/>
      <c r="W246" s="5"/>
      <c r="X246" s="5"/>
      <c r="Y246" s="5"/>
    </row>
    <row r="247" spans="1:25" ht="22.5" customHeight="1">
      <c r="A247" s="5" t="s">
        <v>1111</v>
      </c>
      <c r="B247" s="5" t="s">
        <v>26</v>
      </c>
      <c r="C247" s="5" t="s">
        <v>27</v>
      </c>
      <c r="D247" s="5">
        <v>163</v>
      </c>
      <c r="E247" s="7" t="s">
        <v>90</v>
      </c>
      <c r="F247" s="5"/>
      <c r="G247" s="5" t="s">
        <v>1112</v>
      </c>
      <c r="H247" s="5">
        <v>4</v>
      </c>
      <c r="I247" s="8">
        <v>44835</v>
      </c>
      <c r="J247" s="8">
        <v>46295</v>
      </c>
      <c r="K247" s="5" t="s">
        <v>29</v>
      </c>
      <c r="L247" s="5" t="s">
        <v>35</v>
      </c>
      <c r="M247" s="28" t="s">
        <v>1113</v>
      </c>
      <c r="N247" s="21" t="s">
        <v>52</v>
      </c>
      <c r="O247" s="5" t="s">
        <v>64</v>
      </c>
      <c r="P247" s="53" t="s">
        <v>1114</v>
      </c>
      <c r="Q247" s="12"/>
      <c r="R247" s="5"/>
      <c r="S247" s="5"/>
      <c r="T247" s="5" t="s">
        <v>39</v>
      </c>
      <c r="U247" s="16">
        <v>35056</v>
      </c>
      <c r="V247" s="50" t="s">
        <v>1115</v>
      </c>
      <c r="W247" s="5" t="s">
        <v>40</v>
      </c>
      <c r="X247" s="6">
        <v>2019</v>
      </c>
      <c r="Y247" s="5" t="s">
        <v>94</v>
      </c>
    </row>
    <row r="248" spans="1:25" ht="13.8">
      <c r="A248" s="28" t="s">
        <v>1116</v>
      </c>
      <c r="B248" s="5" t="s">
        <v>26</v>
      </c>
      <c r="C248" s="5" t="s">
        <v>27</v>
      </c>
      <c r="D248" s="29">
        <v>125</v>
      </c>
      <c r="E248" s="30" t="s">
        <v>104</v>
      </c>
      <c r="F248" s="5" t="s">
        <v>477</v>
      </c>
      <c r="G248" s="13" t="s">
        <v>478</v>
      </c>
      <c r="H248" s="5">
        <v>3</v>
      </c>
      <c r="I248" s="8">
        <v>45200</v>
      </c>
      <c r="J248" s="8">
        <v>46660</v>
      </c>
      <c r="K248" s="5" t="s">
        <v>29</v>
      </c>
      <c r="L248" s="5" t="s">
        <v>35</v>
      </c>
      <c r="M248" s="13" t="s">
        <v>1117</v>
      </c>
      <c r="N248" s="5" t="s">
        <v>85</v>
      </c>
      <c r="O248" s="5"/>
      <c r="P248" s="5" t="s">
        <v>1118</v>
      </c>
      <c r="Q248" s="12"/>
      <c r="R248" s="5"/>
      <c r="S248" s="5" t="s">
        <v>1119</v>
      </c>
      <c r="T248" s="31" t="s">
        <v>39</v>
      </c>
      <c r="U248" s="32">
        <v>36144</v>
      </c>
      <c r="V248" s="5"/>
      <c r="W248" s="5"/>
      <c r="X248" s="5"/>
      <c r="Y248" s="5" t="s">
        <v>106</v>
      </c>
    </row>
    <row r="249" spans="1:25" ht="13.8">
      <c r="A249" s="13" t="s">
        <v>1120</v>
      </c>
      <c r="B249" s="5" t="s">
        <v>26</v>
      </c>
      <c r="C249" s="5" t="s">
        <v>27</v>
      </c>
      <c r="D249" s="6" t="s">
        <v>43</v>
      </c>
      <c r="E249" s="7"/>
      <c r="F249" s="5"/>
      <c r="G249" s="5"/>
      <c r="H249" s="5">
        <v>1</v>
      </c>
      <c r="I249" s="8">
        <v>45931</v>
      </c>
      <c r="J249" s="8">
        <v>47391</v>
      </c>
      <c r="K249" s="5" t="s">
        <v>29</v>
      </c>
      <c r="L249" s="5" t="s">
        <v>30</v>
      </c>
      <c r="M249" s="34" t="s">
        <v>1121</v>
      </c>
      <c r="N249" s="5" t="s">
        <v>45</v>
      </c>
      <c r="O249" s="5"/>
      <c r="P249" s="35"/>
      <c r="Q249" s="12"/>
      <c r="R249" s="5"/>
      <c r="S249" s="5"/>
      <c r="T249" s="5"/>
      <c r="U249" s="5"/>
      <c r="V249" s="5"/>
      <c r="W249" s="5"/>
      <c r="X249" s="5"/>
      <c r="Y249" s="5"/>
    </row>
    <row r="250" spans="1:25" ht="18" customHeight="1">
      <c r="A250" s="13" t="s">
        <v>1122</v>
      </c>
      <c r="B250" s="5" t="s">
        <v>26</v>
      </c>
      <c r="C250" s="5" t="s">
        <v>27</v>
      </c>
      <c r="D250" s="6" t="s">
        <v>103</v>
      </c>
      <c r="E250" s="7" t="s">
        <v>104</v>
      </c>
      <c r="F250" s="5"/>
      <c r="G250" s="5"/>
      <c r="H250" s="5">
        <v>1</v>
      </c>
      <c r="I250" s="8">
        <v>45931</v>
      </c>
      <c r="J250" s="8">
        <v>47391</v>
      </c>
      <c r="K250" s="5" t="s">
        <v>29</v>
      </c>
      <c r="L250" s="5" t="s">
        <v>30</v>
      </c>
      <c r="M250" s="34" t="s">
        <v>1123</v>
      </c>
      <c r="N250" s="5" t="s">
        <v>45</v>
      </c>
      <c r="O250" s="5"/>
      <c r="P250" s="35"/>
      <c r="Q250" s="12"/>
      <c r="R250" s="5"/>
      <c r="S250" s="5"/>
      <c r="T250" s="5"/>
      <c r="U250" s="5"/>
      <c r="V250" s="5"/>
      <c r="W250" s="5"/>
      <c r="X250" s="5"/>
      <c r="Y250" s="5"/>
    </row>
    <row r="251" spans="1:25" ht="13.8">
      <c r="A251" s="13" t="s">
        <v>1124</v>
      </c>
      <c r="B251" s="5" t="s">
        <v>26</v>
      </c>
      <c r="C251" s="5" t="s">
        <v>27</v>
      </c>
      <c r="D251" s="6" t="s">
        <v>76</v>
      </c>
      <c r="E251" s="7" t="s">
        <v>77</v>
      </c>
      <c r="F251" s="5"/>
      <c r="G251" s="5"/>
      <c r="H251" s="5">
        <v>1</v>
      </c>
      <c r="I251" s="8">
        <v>45931</v>
      </c>
      <c r="J251" s="8">
        <v>47391</v>
      </c>
      <c r="K251" s="5" t="s">
        <v>29</v>
      </c>
      <c r="L251" s="5" t="s">
        <v>30</v>
      </c>
      <c r="M251" s="34" t="s">
        <v>1125</v>
      </c>
      <c r="N251" s="5" t="s">
        <v>45</v>
      </c>
      <c r="O251" s="5"/>
      <c r="P251" s="35"/>
      <c r="Q251" s="12"/>
      <c r="R251" s="5"/>
      <c r="S251" s="5"/>
      <c r="T251" s="5"/>
      <c r="U251" s="5"/>
      <c r="V251" s="5"/>
      <c r="W251" s="5"/>
      <c r="X251" s="5"/>
      <c r="Y251" s="5"/>
    </row>
    <row r="252" spans="1:25" ht="15">
      <c r="A252" s="5" t="s">
        <v>1126</v>
      </c>
      <c r="B252" s="5" t="s">
        <v>26</v>
      </c>
      <c r="C252" s="5" t="s">
        <v>27</v>
      </c>
      <c r="D252" s="5">
        <v>126</v>
      </c>
      <c r="E252" s="7" t="s">
        <v>80</v>
      </c>
      <c r="F252" s="5" t="s">
        <v>81</v>
      </c>
      <c r="G252" s="5" t="s">
        <v>804</v>
      </c>
      <c r="H252" s="5">
        <v>2</v>
      </c>
      <c r="I252" s="8">
        <v>45566</v>
      </c>
      <c r="J252" s="9">
        <v>47026</v>
      </c>
      <c r="K252" s="5" t="s">
        <v>29</v>
      </c>
      <c r="L252" s="5" t="s">
        <v>141</v>
      </c>
      <c r="M252" s="5" t="s">
        <v>1127</v>
      </c>
      <c r="N252" s="5" t="s">
        <v>143</v>
      </c>
      <c r="O252" s="5"/>
      <c r="P252" s="44" t="s">
        <v>1128</v>
      </c>
      <c r="Q252" s="12"/>
      <c r="R252" s="5"/>
      <c r="S252" s="5"/>
      <c r="T252" s="5" t="s">
        <v>39</v>
      </c>
      <c r="U252" s="8">
        <v>35041</v>
      </c>
      <c r="V252" s="5"/>
      <c r="W252" s="5"/>
      <c r="X252" s="5"/>
      <c r="Y252" s="5" t="s">
        <v>88</v>
      </c>
    </row>
    <row r="253" spans="1:25" ht="13.8">
      <c r="A253" s="5" t="s">
        <v>1129</v>
      </c>
      <c r="B253" s="5" t="s">
        <v>26</v>
      </c>
      <c r="C253" s="5" t="s">
        <v>27</v>
      </c>
      <c r="D253" s="5">
        <v>122</v>
      </c>
      <c r="E253" s="30" t="s">
        <v>124</v>
      </c>
      <c r="F253" s="5" t="s">
        <v>125</v>
      </c>
      <c r="G253" s="5" t="s">
        <v>472</v>
      </c>
      <c r="H253" s="5">
        <v>4</v>
      </c>
      <c r="I253" s="8">
        <v>44835</v>
      </c>
      <c r="J253" s="8">
        <v>46295</v>
      </c>
      <c r="K253" s="5" t="s">
        <v>29</v>
      </c>
      <c r="L253" s="5" t="s">
        <v>35</v>
      </c>
      <c r="M253" s="53" t="s">
        <v>1130</v>
      </c>
      <c r="N253" s="21" t="s">
        <v>52</v>
      </c>
      <c r="O253" s="5" t="s">
        <v>64</v>
      </c>
      <c r="P253" s="53" t="s">
        <v>1131</v>
      </c>
      <c r="Q253" s="12"/>
      <c r="R253" s="5"/>
      <c r="S253" s="5"/>
      <c r="T253" s="5" t="s">
        <v>39</v>
      </c>
      <c r="U253" s="16">
        <v>34551</v>
      </c>
      <c r="V253" s="5" t="s">
        <v>1132</v>
      </c>
      <c r="W253" s="5" t="s">
        <v>40</v>
      </c>
      <c r="X253" s="6">
        <v>2018</v>
      </c>
      <c r="Y253" s="5" t="s">
        <v>266</v>
      </c>
    </row>
    <row r="254" spans="1:25" ht="13.8">
      <c r="A254" s="5" t="s">
        <v>1133</v>
      </c>
      <c r="B254" s="5" t="s">
        <v>26</v>
      </c>
      <c r="C254" s="5" t="s">
        <v>27</v>
      </c>
      <c r="D254" s="5">
        <v>122</v>
      </c>
      <c r="E254" s="7" t="s">
        <v>33</v>
      </c>
      <c r="F254" s="5"/>
      <c r="G254" s="5" t="s">
        <v>367</v>
      </c>
      <c r="H254" s="5">
        <v>4</v>
      </c>
      <c r="I254" s="8">
        <v>44835</v>
      </c>
      <c r="J254" s="8">
        <v>46295</v>
      </c>
      <c r="K254" s="5" t="s">
        <v>29</v>
      </c>
      <c r="L254" s="5" t="s">
        <v>35</v>
      </c>
      <c r="M254" s="60" t="s">
        <v>1134</v>
      </c>
      <c r="N254" s="21" t="s">
        <v>52</v>
      </c>
      <c r="O254" s="5" t="s">
        <v>64</v>
      </c>
      <c r="P254" s="53" t="s">
        <v>1135</v>
      </c>
      <c r="Q254" s="12"/>
      <c r="R254" s="5"/>
      <c r="S254" s="5"/>
      <c r="T254" s="5" t="s">
        <v>39</v>
      </c>
      <c r="U254" s="16">
        <v>27926</v>
      </c>
      <c r="V254" s="5" t="s">
        <v>1136</v>
      </c>
      <c r="W254" s="5" t="s">
        <v>40</v>
      </c>
      <c r="X254" s="6">
        <v>2021</v>
      </c>
      <c r="Y254" s="5" t="s">
        <v>41</v>
      </c>
    </row>
    <row r="255" spans="1:25" ht="13.8">
      <c r="A255" s="5" t="s">
        <v>1137</v>
      </c>
      <c r="B255" s="5" t="s">
        <v>506</v>
      </c>
      <c r="C255" s="5" t="s">
        <v>27</v>
      </c>
      <c r="D255" s="5">
        <v>122</v>
      </c>
      <c r="E255" s="30" t="s">
        <v>124</v>
      </c>
      <c r="F255" s="5" t="s">
        <v>125</v>
      </c>
      <c r="G255" s="5" t="s">
        <v>1138</v>
      </c>
      <c r="H255" s="5"/>
      <c r="I255" s="48">
        <v>44470</v>
      </c>
      <c r="J255" s="48">
        <v>45930</v>
      </c>
      <c r="K255" s="5" t="s">
        <v>29</v>
      </c>
      <c r="L255" s="5" t="s">
        <v>418</v>
      </c>
      <c r="M255" s="28" t="s">
        <v>1139</v>
      </c>
      <c r="N255" s="12" t="s">
        <v>270</v>
      </c>
      <c r="O255" s="5" t="s">
        <v>271</v>
      </c>
      <c r="P255" s="53" t="s">
        <v>1140</v>
      </c>
      <c r="Q255" s="12" t="s">
        <v>1141</v>
      </c>
      <c r="R255" s="5" t="s">
        <v>1142</v>
      </c>
      <c r="S255" s="5"/>
      <c r="T255" s="5" t="s">
        <v>57</v>
      </c>
      <c r="U255" s="48">
        <v>25277</v>
      </c>
      <c r="V255" s="50" t="s">
        <v>1143</v>
      </c>
      <c r="W255" s="5" t="s">
        <v>1144</v>
      </c>
      <c r="X255" s="5">
        <v>1994</v>
      </c>
      <c r="Y255" s="5"/>
    </row>
    <row r="256" spans="1:25" ht="15">
      <c r="A256" s="5" t="s">
        <v>1145</v>
      </c>
      <c r="B256" s="5" t="s">
        <v>26</v>
      </c>
      <c r="C256" s="5" t="s">
        <v>27</v>
      </c>
      <c r="D256" s="5">
        <v>121</v>
      </c>
      <c r="E256" s="7" t="s">
        <v>77</v>
      </c>
      <c r="F256" s="5"/>
      <c r="G256" s="5" t="s">
        <v>1146</v>
      </c>
      <c r="H256" s="5">
        <v>2</v>
      </c>
      <c r="I256" s="8">
        <v>45566</v>
      </c>
      <c r="J256" s="9">
        <v>47026</v>
      </c>
      <c r="K256" s="5" t="s">
        <v>29</v>
      </c>
      <c r="L256" s="5" t="s">
        <v>141</v>
      </c>
      <c r="M256" s="88" t="s">
        <v>1147</v>
      </c>
      <c r="N256" s="5" t="s">
        <v>143</v>
      </c>
      <c r="O256" s="5"/>
      <c r="P256" s="44" t="s">
        <v>1148</v>
      </c>
      <c r="Q256" s="12"/>
      <c r="R256" s="5"/>
      <c r="S256" s="5"/>
      <c r="T256" s="5" t="s">
        <v>39</v>
      </c>
      <c r="U256" s="8">
        <v>28639</v>
      </c>
      <c r="V256" s="5"/>
      <c r="W256" s="5"/>
      <c r="X256" s="5"/>
      <c r="Y256" s="5" t="s">
        <v>94</v>
      </c>
    </row>
    <row r="257" spans="1:25" ht="13.8">
      <c r="A257" s="13" t="s">
        <v>1149</v>
      </c>
      <c r="B257" s="5" t="s">
        <v>26</v>
      </c>
      <c r="C257" s="5" t="s">
        <v>27</v>
      </c>
      <c r="D257" s="6" t="s">
        <v>283</v>
      </c>
      <c r="E257" s="7" t="s">
        <v>138</v>
      </c>
      <c r="F257" s="5"/>
      <c r="G257" s="5"/>
      <c r="H257" s="5">
        <v>1</v>
      </c>
      <c r="I257" s="8">
        <v>45931</v>
      </c>
      <c r="J257" s="8">
        <v>47391</v>
      </c>
      <c r="K257" s="5" t="s">
        <v>29</v>
      </c>
      <c r="L257" s="5" t="s">
        <v>30</v>
      </c>
      <c r="M257" s="34" t="s">
        <v>1150</v>
      </c>
      <c r="N257" s="5" t="s">
        <v>45</v>
      </c>
      <c r="O257" s="5"/>
      <c r="P257" s="35"/>
      <c r="Q257" s="12"/>
      <c r="R257" s="5"/>
      <c r="S257" s="5"/>
      <c r="T257" s="5"/>
      <c r="U257" s="5"/>
      <c r="V257" s="5"/>
      <c r="W257" s="5"/>
      <c r="X257" s="5"/>
      <c r="Y257" s="5"/>
    </row>
    <row r="258" spans="1:25" ht="13.8">
      <c r="A258" s="28" t="s">
        <v>1151</v>
      </c>
      <c r="B258" s="5" t="s">
        <v>26</v>
      </c>
      <c r="C258" s="5" t="s">
        <v>27</v>
      </c>
      <c r="D258" s="29">
        <v>126</v>
      </c>
      <c r="E258" s="30" t="s">
        <v>80</v>
      </c>
      <c r="F258" s="5" t="s">
        <v>81</v>
      </c>
      <c r="G258" s="13" t="s">
        <v>1152</v>
      </c>
      <c r="H258" s="5">
        <v>3</v>
      </c>
      <c r="I258" s="8">
        <v>45200</v>
      </c>
      <c r="J258" s="8">
        <v>46660</v>
      </c>
      <c r="K258" s="5" t="s">
        <v>29</v>
      </c>
      <c r="L258" s="5" t="s">
        <v>35</v>
      </c>
      <c r="M258" s="13" t="s">
        <v>1153</v>
      </c>
      <c r="N258" s="5" t="s">
        <v>85</v>
      </c>
      <c r="O258" s="5"/>
      <c r="P258" s="5" t="s">
        <v>924</v>
      </c>
      <c r="Q258" s="12"/>
      <c r="R258" s="5"/>
      <c r="S258" s="5"/>
      <c r="T258" s="31" t="s">
        <v>39</v>
      </c>
      <c r="U258" s="32">
        <v>34638</v>
      </c>
      <c r="V258" s="5"/>
      <c r="W258" s="5"/>
      <c r="X258" s="5"/>
      <c r="Y258" s="5" t="s">
        <v>88</v>
      </c>
    </row>
    <row r="259" spans="1:25" ht="13.8">
      <c r="A259" s="13" t="s">
        <v>1154</v>
      </c>
      <c r="B259" s="5" t="s">
        <v>26</v>
      </c>
      <c r="C259" s="5" t="s">
        <v>27</v>
      </c>
      <c r="D259" s="6" t="s">
        <v>409</v>
      </c>
      <c r="E259" s="7" t="s">
        <v>203</v>
      </c>
      <c r="F259" s="5"/>
      <c r="G259" s="5"/>
      <c r="H259" s="5">
        <v>1</v>
      </c>
      <c r="I259" s="8">
        <v>45931</v>
      </c>
      <c r="J259" s="8">
        <v>47391</v>
      </c>
      <c r="K259" s="5" t="s">
        <v>29</v>
      </c>
      <c r="L259" s="5" t="s">
        <v>30</v>
      </c>
      <c r="M259" s="89" t="s">
        <v>1155</v>
      </c>
      <c r="N259" s="5" t="s">
        <v>45</v>
      </c>
      <c r="O259" s="5"/>
      <c r="P259" s="35"/>
      <c r="Q259" s="12"/>
      <c r="R259" s="5"/>
      <c r="S259" s="5"/>
      <c r="T259" s="5"/>
      <c r="U259" s="5"/>
      <c r="V259" s="5"/>
      <c r="W259" s="5"/>
      <c r="X259" s="5"/>
      <c r="Y259" s="5"/>
    </row>
    <row r="260" spans="1:25" ht="15">
      <c r="A260" s="5" t="s">
        <v>1156</v>
      </c>
      <c r="B260" s="5" t="s">
        <v>26</v>
      </c>
      <c r="C260" s="5" t="s">
        <v>27</v>
      </c>
      <c r="D260" s="5">
        <v>124</v>
      </c>
      <c r="E260" s="7" t="s">
        <v>203</v>
      </c>
      <c r="F260" s="5"/>
      <c r="G260" s="5" t="s">
        <v>209</v>
      </c>
      <c r="H260" s="5">
        <v>2</v>
      </c>
      <c r="I260" s="8">
        <v>45566</v>
      </c>
      <c r="J260" s="9">
        <v>47026</v>
      </c>
      <c r="K260" s="5" t="s">
        <v>29</v>
      </c>
      <c r="L260" s="5" t="s">
        <v>141</v>
      </c>
      <c r="M260" s="88" t="s">
        <v>1157</v>
      </c>
      <c r="N260" s="5" t="s">
        <v>143</v>
      </c>
      <c r="O260" s="5"/>
      <c r="P260" s="44" t="s">
        <v>1158</v>
      </c>
      <c r="Q260" s="12"/>
      <c r="R260" s="5"/>
      <c r="S260" s="5"/>
      <c r="T260" s="5" t="s">
        <v>39</v>
      </c>
      <c r="U260" s="8">
        <v>35665</v>
      </c>
      <c r="V260" s="5"/>
      <c r="W260" s="5"/>
      <c r="X260" s="5"/>
      <c r="Y260" s="5" t="s">
        <v>41</v>
      </c>
    </row>
    <row r="261" spans="1:25" ht="15">
      <c r="A261" s="5" t="s">
        <v>1159</v>
      </c>
      <c r="B261" s="5" t="s">
        <v>26</v>
      </c>
      <c r="C261" s="5" t="s">
        <v>27</v>
      </c>
      <c r="D261" s="5">
        <v>123</v>
      </c>
      <c r="E261" s="7" t="s">
        <v>108</v>
      </c>
      <c r="F261" s="5" t="s">
        <v>250</v>
      </c>
      <c r="G261" s="44" t="s">
        <v>1138</v>
      </c>
      <c r="H261" s="5">
        <v>2</v>
      </c>
      <c r="I261" s="8">
        <v>45566</v>
      </c>
      <c r="J261" s="9">
        <v>47026</v>
      </c>
      <c r="K261" s="5" t="s">
        <v>29</v>
      </c>
      <c r="L261" s="5" t="s">
        <v>141</v>
      </c>
      <c r="M261" s="5" t="s">
        <v>1160</v>
      </c>
      <c r="N261" s="5" t="s">
        <v>143</v>
      </c>
      <c r="O261" s="5"/>
      <c r="P261" s="90" t="s">
        <v>1161</v>
      </c>
      <c r="Q261" s="12"/>
      <c r="R261" s="5"/>
      <c r="S261" s="5"/>
      <c r="T261" s="5" t="s">
        <v>39</v>
      </c>
      <c r="U261" s="8">
        <v>36833</v>
      </c>
      <c r="V261" s="5"/>
      <c r="W261" s="5"/>
      <c r="X261" s="5"/>
      <c r="Y261" s="5" t="s">
        <v>112</v>
      </c>
    </row>
    <row r="262" spans="1:25" ht="13.8">
      <c r="A262" s="5" t="s">
        <v>1162</v>
      </c>
      <c r="B262" s="61" t="s">
        <v>26</v>
      </c>
      <c r="C262" s="5" t="s">
        <v>27</v>
      </c>
      <c r="D262" s="61">
        <v>122</v>
      </c>
      <c r="E262" s="64" t="s">
        <v>322</v>
      </c>
      <c r="F262" s="5"/>
      <c r="G262" s="61" t="s">
        <v>1163</v>
      </c>
      <c r="H262" s="5">
        <v>4</v>
      </c>
      <c r="I262" s="8">
        <v>44835</v>
      </c>
      <c r="J262" s="8">
        <v>46295</v>
      </c>
      <c r="K262" s="5" t="s">
        <v>29</v>
      </c>
      <c r="L262" s="5" t="s">
        <v>35</v>
      </c>
      <c r="M262" s="60" t="s">
        <v>1164</v>
      </c>
      <c r="N262" s="21" t="s">
        <v>52</v>
      </c>
      <c r="O262" s="5" t="s">
        <v>64</v>
      </c>
      <c r="P262" s="53" t="s">
        <v>1165</v>
      </c>
      <c r="Q262" s="12"/>
      <c r="R262" s="5"/>
      <c r="S262" s="5"/>
      <c r="T262" s="5" t="s">
        <v>39</v>
      </c>
      <c r="U262" s="16">
        <v>36443</v>
      </c>
      <c r="V262" s="5" t="s">
        <v>1166</v>
      </c>
      <c r="W262" s="5" t="s">
        <v>40</v>
      </c>
      <c r="X262" s="6">
        <v>2021</v>
      </c>
      <c r="Y262" s="5"/>
    </row>
    <row r="263" spans="1:25" ht="27.6">
      <c r="A263" s="61" t="s">
        <v>1167</v>
      </c>
      <c r="B263" s="5" t="s">
        <v>47</v>
      </c>
      <c r="C263" s="5" t="s">
        <v>699</v>
      </c>
      <c r="D263" s="5">
        <v>125</v>
      </c>
      <c r="E263" s="7" t="s">
        <v>104</v>
      </c>
      <c r="F263" s="5"/>
      <c r="G263" s="5" t="s">
        <v>1168</v>
      </c>
      <c r="H263" s="5"/>
      <c r="I263" s="8">
        <v>43891</v>
      </c>
      <c r="J263" s="8">
        <v>45688</v>
      </c>
      <c r="K263" s="5" t="s">
        <v>29</v>
      </c>
      <c r="L263" s="5" t="s">
        <v>35</v>
      </c>
      <c r="M263" s="5" t="s">
        <v>1169</v>
      </c>
      <c r="N263" s="5" t="s">
        <v>652</v>
      </c>
      <c r="O263" s="5"/>
      <c r="P263" s="53"/>
      <c r="Q263" s="12" t="s">
        <v>304</v>
      </c>
      <c r="R263" s="5"/>
      <c r="S263" s="5" t="s">
        <v>703</v>
      </c>
      <c r="T263" s="5" t="s">
        <v>39</v>
      </c>
      <c r="U263" s="8">
        <v>35068</v>
      </c>
      <c r="V263" s="5"/>
      <c r="W263" s="5"/>
      <c r="X263" s="5"/>
      <c r="Y263" s="5"/>
    </row>
    <row r="264" spans="1:25" ht="13.8">
      <c r="A264" s="13" t="s">
        <v>1170</v>
      </c>
      <c r="B264" s="5" t="s">
        <v>26</v>
      </c>
      <c r="C264" s="5" t="s">
        <v>27</v>
      </c>
      <c r="D264" s="29">
        <v>122</v>
      </c>
      <c r="E264" s="30" t="s">
        <v>28</v>
      </c>
      <c r="F264" s="5"/>
      <c r="G264" s="13" t="s">
        <v>1171</v>
      </c>
      <c r="H264" s="5">
        <v>2</v>
      </c>
      <c r="I264" s="8">
        <v>45231</v>
      </c>
      <c r="J264" s="36">
        <v>46691</v>
      </c>
      <c r="K264" s="5" t="s">
        <v>29</v>
      </c>
      <c r="L264" s="5" t="s">
        <v>35</v>
      </c>
      <c r="M264" s="13" t="s">
        <v>1172</v>
      </c>
      <c r="N264" s="37" t="s">
        <v>128</v>
      </c>
      <c r="O264" s="5"/>
      <c r="P264" s="5" t="s">
        <v>1173</v>
      </c>
      <c r="Q264" s="12"/>
      <c r="R264" s="5"/>
      <c r="S264" s="5"/>
      <c r="T264" s="31" t="s">
        <v>39</v>
      </c>
      <c r="U264" s="33">
        <v>34363</v>
      </c>
      <c r="V264" s="5"/>
      <c r="W264" s="5"/>
      <c r="X264" s="5"/>
      <c r="Y264" s="5" t="s">
        <v>31</v>
      </c>
    </row>
    <row r="265" spans="1:25" ht="55.2">
      <c r="A265" s="5" t="s">
        <v>1174</v>
      </c>
      <c r="B265" s="5" t="s">
        <v>47</v>
      </c>
      <c r="C265" s="5" t="s">
        <v>27</v>
      </c>
      <c r="D265" s="5">
        <v>121</v>
      </c>
      <c r="E265" s="7" t="s">
        <v>77</v>
      </c>
      <c r="F265" s="5"/>
      <c r="G265" s="5" t="s">
        <v>985</v>
      </c>
      <c r="H265" s="5"/>
      <c r="I265" s="48">
        <v>44470</v>
      </c>
      <c r="J265" s="48">
        <v>45930</v>
      </c>
      <c r="K265" s="5" t="s">
        <v>83</v>
      </c>
      <c r="L265" s="5" t="s">
        <v>35</v>
      </c>
      <c r="M265" s="28" t="s">
        <v>1175</v>
      </c>
      <c r="N265" s="12" t="s">
        <v>270</v>
      </c>
      <c r="O265" s="5" t="s">
        <v>271</v>
      </c>
      <c r="P265" s="35" t="s">
        <v>1176</v>
      </c>
      <c r="Q265" s="12" t="s">
        <v>1177</v>
      </c>
      <c r="R265" s="5" t="s">
        <v>434</v>
      </c>
      <c r="S265" s="5" t="s">
        <v>977</v>
      </c>
      <c r="T265" s="5" t="s">
        <v>57</v>
      </c>
      <c r="U265" s="48">
        <v>31894</v>
      </c>
      <c r="V265" s="50" t="s">
        <v>1178</v>
      </c>
      <c r="W265" s="5" t="s">
        <v>40</v>
      </c>
      <c r="X265" s="5">
        <v>2020</v>
      </c>
      <c r="Y265" s="5"/>
    </row>
    <row r="266" spans="1:25" ht="13.8">
      <c r="A266" s="13" t="s">
        <v>1179</v>
      </c>
      <c r="B266" s="5" t="s">
        <v>47</v>
      </c>
      <c r="C266" s="5" t="s">
        <v>27</v>
      </c>
      <c r="D266" s="5">
        <v>122</v>
      </c>
      <c r="E266" s="7" t="s">
        <v>33</v>
      </c>
      <c r="F266" s="5"/>
      <c r="G266" s="5" t="s">
        <v>1180</v>
      </c>
      <c r="H266" s="5"/>
      <c r="I266" s="8">
        <v>45047</v>
      </c>
      <c r="J266" s="8">
        <v>45930</v>
      </c>
      <c r="K266" s="5" t="s">
        <v>29</v>
      </c>
      <c r="L266" s="5" t="s">
        <v>35</v>
      </c>
      <c r="M266" s="53" t="s">
        <v>1181</v>
      </c>
      <c r="N266" s="12" t="s">
        <v>37</v>
      </c>
      <c r="O266" s="5"/>
      <c r="P266" s="86" t="s">
        <v>1182</v>
      </c>
      <c r="Q266" s="12" t="s">
        <v>789</v>
      </c>
      <c r="R266" s="5" t="s">
        <v>680</v>
      </c>
      <c r="S266" s="5"/>
      <c r="T266" s="5" t="s">
        <v>39</v>
      </c>
      <c r="U266" s="16">
        <v>36778</v>
      </c>
      <c r="V266" s="5">
        <v>503253949</v>
      </c>
      <c r="W266" s="5" t="s">
        <v>40</v>
      </c>
      <c r="X266" s="6">
        <v>2022</v>
      </c>
      <c r="Y266" s="5"/>
    </row>
    <row r="267" spans="1:25" ht="13.8">
      <c r="A267" s="13" t="s">
        <v>1183</v>
      </c>
      <c r="B267" s="5" t="s">
        <v>26</v>
      </c>
      <c r="C267" s="5" t="s">
        <v>27</v>
      </c>
      <c r="D267" s="6" t="s">
        <v>554</v>
      </c>
      <c r="E267" s="7"/>
      <c r="F267" s="5"/>
      <c r="G267" s="5"/>
      <c r="H267" s="5">
        <v>1</v>
      </c>
      <c r="I267" s="8">
        <v>45931</v>
      </c>
      <c r="J267" s="8">
        <v>47391</v>
      </c>
      <c r="K267" s="5" t="s">
        <v>29</v>
      </c>
      <c r="L267" s="5" t="s">
        <v>30</v>
      </c>
      <c r="M267" s="34" t="s">
        <v>1184</v>
      </c>
      <c r="N267" s="5" t="s">
        <v>45</v>
      </c>
      <c r="O267" s="5"/>
      <c r="P267" s="35"/>
      <c r="Q267" s="12"/>
      <c r="R267" s="5"/>
      <c r="S267" s="5"/>
      <c r="T267" s="5"/>
      <c r="U267" s="5"/>
      <c r="V267" s="5"/>
      <c r="W267" s="5"/>
      <c r="X267" s="5"/>
      <c r="Y267" s="5"/>
    </row>
    <row r="268" spans="1:25" ht="13.8">
      <c r="A268" s="13" t="s">
        <v>1185</v>
      </c>
      <c r="B268" s="5" t="s">
        <v>26</v>
      </c>
      <c r="C268" s="5" t="s">
        <v>27</v>
      </c>
      <c r="D268" s="5">
        <v>113</v>
      </c>
      <c r="E268" s="7" t="s">
        <v>203</v>
      </c>
      <c r="F268" s="5"/>
      <c r="G268" s="5" t="s">
        <v>1186</v>
      </c>
      <c r="H268" s="5">
        <v>3</v>
      </c>
      <c r="I268" s="8">
        <v>45047</v>
      </c>
      <c r="J268" s="8">
        <v>46507</v>
      </c>
      <c r="K268" s="5" t="s">
        <v>29</v>
      </c>
      <c r="L268" s="5" t="s">
        <v>35</v>
      </c>
      <c r="M268" s="53" t="s">
        <v>1187</v>
      </c>
      <c r="N268" s="12" t="s">
        <v>37</v>
      </c>
      <c r="O268" s="5"/>
      <c r="P268" s="74" t="s">
        <v>1188</v>
      </c>
      <c r="Q268" s="12"/>
      <c r="R268" s="5"/>
      <c r="S268" s="5" t="s">
        <v>1189</v>
      </c>
      <c r="T268" s="5" t="s">
        <v>39</v>
      </c>
      <c r="U268" s="16">
        <v>36544</v>
      </c>
      <c r="V268" s="5">
        <f>380968413136</f>
        <v>380968413136</v>
      </c>
      <c r="W268" s="5" t="s">
        <v>40</v>
      </c>
      <c r="X268" s="6">
        <v>2022</v>
      </c>
      <c r="Y268" s="5" t="s">
        <v>41</v>
      </c>
    </row>
    <row r="269" spans="1:25" ht="15">
      <c r="A269" s="13" t="s">
        <v>1190</v>
      </c>
      <c r="B269" s="5" t="s">
        <v>26</v>
      </c>
      <c r="C269" s="5" t="s">
        <v>27</v>
      </c>
      <c r="D269" s="6" t="s">
        <v>76</v>
      </c>
      <c r="E269" s="7" t="s">
        <v>77</v>
      </c>
      <c r="F269" s="5"/>
      <c r="G269" s="5"/>
      <c r="H269" s="5">
        <v>1</v>
      </c>
      <c r="I269" s="8">
        <v>45931</v>
      </c>
      <c r="J269" s="8">
        <v>47391</v>
      </c>
      <c r="K269" s="5" t="s">
        <v>29</v>
      </c>
      <c r="L269" s="5" t="s">
        <v>30</v>
      </c>
      <c r="M269" s="34" t="s">
        <v>1191</v>
      </c>
      <c r="N269" s="5" t="s">
        <v>45</v>
      </c>
      <c r="O269" s="5"/>
      <c r="P269" s="44" t="s">
        <v>1192</v>
      </c>
      <c r="Q269" s="12"/>
      <c r="R269" s="5"/>
      <c r="S269" s="5" t="s">
        <v>1081</v>
      </c>
      <c r="T269" s="5" t="s">
        <v>57</v>
      </c>
      <c r="U269" s="16"/>
      <c r="V269" s="5"/>
      <c r="W269" s="5"/>
      <c r="X269" s="6"/>
      <c r="Y269" s="5"/>
    </row>
    <row r="270" spans="1:25" ht="13.8">
      <c r="A270" s="13" t="s">
        <v>1193</v>
      </c>
      <c r="B270" s="61" t="s">
        <v>26</v>
      </c>
      <c r="C270" s="5" t="s">
        <v>27</v>
      </c>
      <c r="D270" s="61">
        <v>124</v>
      </c>
      <c r="E270" s="64" t="s">
        <v>203</v>
      </c>
      <c r="F270" s="5"/>
      <c r="G270" s="61" t="s">
        <v>1186</v>
      </c>
      <c r="H270" s="5">
        <v>3</v>
      </c>
      <c r="I270" s="8">
        <v>45047</v>
      </c>
      <c r="J270" s="8">
        <v>46507</v>
      </c>
      <c r="K270" s="5" t="s">
        <v>29</v>
      </c>
      <c r="L270" s="5" t="s">
        <v>35</v>
      </c>
      <c r="M270" s="53" t="s">
        <v>1194</v>
      </c>
      <c r="N270" s="12" t="s">
        <v>37</v>
      </c>
      <c r="O270" s="5"/>
      <c r="P270" s="74" t="s">
        <v>1195</v>
      </c>
      <c r="Q270" s="12"/>
      <c r="R270" s="5"/>
      <c r="S270" s="5" t="s">
        <v>1189</v>
      </c>
      <c r="T270" s="5" t="s">
        <v>39</v>
      </c>
      <c r="U270" s="16">
        <v>33102</v>
      </c>
      <c r="V270" s="5">
        <v>506174194</v>
      </c>
      <c r="W270" s="5" t="s">
        <v>40</v>
      </c>
      <c r="X270" s="6">
        <v>2013</v>
      </c>
      <c r="Y270" s="5" t="s">
        <v>41</v>
      </c>
    </row>
    <row r="271" spans="1:25" ht="13.8">
      <c r="A271" s="28" t="s">
        <v>1196</v>
      </c>
      <c r="B271" s="5" t="s">
        <v>26</v>
      </c>
      <c r="C271" s="5" t="s">
        <v>27</v>
      </c>
      <c r="D271" s="29">
        <v>175</v>
      </c>
      <c r="E271" s="30" t="s">
        <v>146</v>
      </c>
      <c r="F271" s="5" t="s">
        <v>717</v>
      </c>
      <c r="G271" s="13" t="s">
        <v>379</v>
      </c>
      <c r="H271" s="5">
        <v>3</v>
      </c>
      <c r="I271" s="8">
        <v>45200</v>
      </c>
      <c r="J271" s="8">
        <v>46660</v>
      </c>
      <c r="K271" s="5" t="s">
        <v>508</v>
      </c>
      <c r="L271" s="5" t="s">
        <v>50</v>
      </c>
      <c r="M271" s="13" t="s">
        <v>1197</v>
      </c>
      <c r="N271" s="5" t="s">
        <v>85</v>
      </c>
      <c r="O271" s="5"/>
      <c r="P271" s="5" t="s">
        <v>1198</v>
      </c>
      <c r="Q271" s="12"/>
      <c r="R271" s="5"/>
      <c r="S271" s="5"/>
      <c r="T271" s="31" t="s">
        <v>39</v>
      </c>
      <c r="U271" s="33">
        <v>29960</v>
      </c>
      <c r="V271" s="5"/>
      <c r="W271" s="5"/>
      <c r="X271" s="5"/>
      <c r="Y271" s="5"/>
    </row>
    <row r="272" spans="1:25" ht="13.8">
      <c r="A272" s="13" t="s">
        <v>1199</v>
      </c>
      <c r="B272" s="5" t="s">
        <v>26</v>
      </c>
      <c r="C272" s="5" t="s">
        <v>27</v>
      </c>
      <c r="D272" s="6" t="s">
        <v>76</v>
      </c>
      <c r="E272" s="7" t="s">
        <v>77</v>
      </c>
      <c r="F272" s="5"/>
      <c r="G272" s="5"/>
      <c r="H272" s="5">
        <v>1</v>
      </c>
      <c r="I272" s="8">
        <v>45931</v>
      </c>
      <c r="J272" s="8">
        <v>47391</v>
      </c>
      <c r="K272" s="5" t="s">
        <v>29</v>
      </c>
      <c r="L272" s="5" t="s">
        <v>30</v>
      </c>
      <c r="M272" s="34" t="s">
        <v>1200</v>
      </c>
      <c r="N272" s="5" t="s">
        <v>1201</v>
      </c>
      <c r="O272" s="5"/>
      <c r="P272" s="35"/>
      <c r="Q272" s="12"/>
      <c r="R272" s="5"/>
      <c r="S272" s="5"/>
      <c r="T272" s="5"/>
      <c r="U272" s="5"/>
      <c r="V272" s="5"/>
      <c r="W272" s="5"/>
      <c r="X272" s="5"/>
      <c r="Y272" s="5"/>
    </row>
    <row r="273" spans="1:25" ht="13.8">
      <c r="A273" s="13" t="s">
        <v>1202</v>
      </c>
      <c r="B273" s="5" t="s">
        <v>26</v>
      </c>
      <c r="C273" s="5" t="s">
        <v>27</v>
      </c>
      <c r="D273" s="6" t="s">
        <v>76</v>
      </c>
      <c r="E273" s="7" t="s">
        <v>77</v>
      </c>
      <c r="F273" s="5"/>
      <c r="G273" s="5"/>
      <c r="H273" s="5">
        <v>1</v>
      </c>
      <c r="I273" s="8">
        <v>45931</v>
      </c>
      <c r="J273" s="8">
        <v>47391</v>
      </c>
      <c r="K273" s="5" t="s">
        <v>83</v>
      </c>
      <c r="L273" s="5" t="s">
        <v>35</v>
      </c>
      <c r="M273" s="34" t="s">
        <v>1203</v>
      </c>
      <c r="N273" s="5" t="s">
        <v>793</v>
      </c>
      <c r="O273" s="5"/>
      <c r="P273" s="35"/>
      <c r="Q273" s="12"/>
      <c r="R273" s="5"/>
      <c r="S273" s="5"/>
      <c r="T273" s="5"/>
      <c r="U273" s="5"/>
      <c r="V273" s="5"/>
      <c r="W273" s="5"/>
      <c r="X273" s="5"/>
      <c r="Y273" s="5"/>
    </row>
    <row r="274" spans="1:25" ht="27.6">
      <c r="A274" s="5" t="s">
        <v>1204</v>
      </c>
      <c r="B274" s="5" t="s">
        <v>47</v>
      </c>
      <c r="C274" s="5" t="s">
        <v>118</v>
      </c>
      <c r="D274" s="5">
        <v>172</v>
      </c>
      <c r="E274" s="7" t="s">
        <v>180</v>
      </c>
      <c r="F274" s="5"/>
      <c r="G274" s="5" t="s">
        <v>1205</v>
      </c>
      <c r="H274" s="5"/>
      <c r="I274" s="8">
        <v>45261</v>
      </c>
      <c r="J274" s="36">
        <v>45705</v>
      </c>
      <c r="K274" s="5" t="s">
        <v>120</v>
      </c>
      <c r="L274" s="5" t="s">
        <v>35</v>
      </c>
      <c r="M274" s="5" t="s">
        <v>1206</v>
      </c>
      <c r="N274" s="5" t="s">
        <v>1207</v>
      </c>
      <c r="O274" s="5" t="s">
        <v>935</v>
      </c>
      <c r="P274" s="53" t="s">
        <v>1208</v>
      </c>
      <c r="Q274" s="12" t="s">
        <v>1209</v>
      </c>
      <c r="R274" s="5" t="s">
        <v>422</v>
      </c>
      <c r="S274" s="5"/>
      <c r="T274" s="5" t="s">
        <v>57</v>
      </c>
      <c r="U274" s="8">
        <v>34009</v>
      </c>
      <c r="V274" s="5"/>
      <c r="W274" s="5"/>
      <c r="X274" s="5"/>
      <c r="Y274" s="5"/>
    </row>
    <row r="275" spans="1:25" ht="13.8">
      <c r="A275" s="61" t="s">
        <v>1210</v>
      </c>
      <c r="B275" s="5" t="s">
        <v>47</v>
      </c>
      <c r="C275" s="5" t="s">
        <v>27</v>
      </c>
      <c r="D275" s="5">
        <v>121</v>
      </c>
      <c r="E275" s="7" t="s">
        <v>77</v>
      </c>
      <c r="F275" s="5"/>
      <c r="G275" s="5" t="s">
        <v>974</v>
      </c>
      <c r="H275" s="6"/>
      <c r="I275" s="8">
        <v>44105</v>
      </c>
      <c r="J275" s="8">
        <v>45930</v>
      </c>
      <c r="K275" s="5" t="s">
        <v>29</v>
      </c>
      <c r="L275" s="5" t="s">
        <v>30</v>
      </c>
      <c r="M275" s="28" t="s">
        <v>1211</v>
      </c>
      <c r="N275" s="5" t="s">
        <v>150</v>
      </c>
      <c r="O275" s="5" t="s">
        <v>151</v>
      </c>
      <c r="P275" s="89" t="s">
        <v>1212</v>
      </c>
      <c r="Q275" s="12" t="s">
        <v>1141</v>
      </c>
      <c r="R275" s="5" t="s">
        <v>1142</v>
      </c>
      <c r="S275" s="5" t="s">
        <v>1213</v>
      </c>
      <c r="T275" s="5" t="s">
        <v>39</v>
      </c>
      <c r="U275" s="8">
        <v>35345</v>
      </c>
      <c r="V275" s="5"/>
      <c r="W275" s="5"/>
      <c r="X275" s="5"/>
      <c r="Y275" s="5"/>
    </row>
    <row r="276" spans="1:25" ht="15">
      <c r="A276" s="5" t="s">
        <v>1214</v>
      </c>
      <c r="B276" s="5" t="s">
        <v>26</v>
      </c>
      <c r="C276" s="5" t="s">
        <v>27</v>
      </c>
      <c r="D276" s="5">
        <v>124</v>
      </c>
      <c r="E276" s="7" t="s">
        <v>203</v>
      </c>
      <c r="F276" s="5"/>
      <c r="G276" s="5" t="s">
        <v>1215</v>
      </c>
      <c r="H276" s="5">
        <v>2</v>
      </c>
      <c r="I276" s="8">
        <v>45566</v>
      </c>
      <c r="J276" s="9">
        <v>47026</v>
      </c>
      <c r="K276" s="5" t="s">
        <v>29</v>
      </c>
      <c r="L276" s="5" t="s">
        <v>141</v>
      </c>
      <c r="M276" s="52" t="s">
        <v>1216</v>
      </c>
      <c r="N276" s="5" t="s">
        <v>143</v>
      </c>
      <c r="O276" s="5"/>
      <c r="P276" s="44" t="s">
        <v>1217</v>
      </c>
      <c r="Q276" s="12"/>
      <c r="R276" s="5"/>
      <c r="S276" s="5"/>
      <c r="T276" s="5" t="s">
        <v>39</v>
      </c>
      <c r="U276" s="8">
        <v>30503</v>
      </c>
      <c r="V276" s="5"/>
      <c r="W276" s="5"/>
      <c r="X276" s="5"/>
      <c r="Y276" s="5" t="s">
        <v>41</v>
      </c>
    </row>
    <row r="277" spans="1:25" ht="15">
      <c r="A277" s="5" t="s">
        <v>1218</v>
      </c>
      <c r="B277" s="5" t="s">
        <v>26</v>
      </c>
      <c r="C277" s="5" t="s">
        <v>27</v>
      </c>
      <c r="D277" s="5">
        <v>125</v>
      </c>
      <c r="E277" s="7" t="s">
        <v>131</v>
      </c>
      <c r="F277" s="5" t="s">
        <v>238</v>
      </c>
      <c r="G277" s="5" t="s">
        <v>1219</v>
      </c>
      <c r="H277" s="5">
        <v>2</v>
      </c>
      <c r="I277" s="8">
        <v>45566</v>
      </c>
      <c r="J277" s="9">
        <v>47026</v>
      </c>
      <c r="K277" s="5" t="s">
        <v>29</v>
      </c>
      <c r="L277" s="5" t="s">
        <v>141</v>
      </c>
      <c r="M277" s="66" t="s">
        <v>1220</v>
      </c>
      <c r="N277" s="5" t="s">
        <v>143</v>
      </c>
      <c r="O277" s="5"/>
      <c r="P277" s="44" t="s">
        <v>1221</v>
      </c>
      <c r="Q277" s="12"/>
      <c r="R277" s="5"/>
      <c r="S277" s="5"/>
      <c r="T277" s="5" t="s">
        <v>39</v>
      </c>
      <c r="U277" s="8">
        <v>36372</v>
      </c>
      <c r="V277" s="5"/>
      <c r="W277" s="5"/>
      <c r="X277" s="5"/>
      <c r="Y277" s="5" t="s">
        <v>136</v>
      </c>
    </row>
    <row r="278" spans="1:25" ht="13.8">
      <c r="A278" s="5" t="s">
        <v>1222</v>
      </c>
      <c r="B278" s="5" t="s">
        <v>26</v>
      </c>
      <c r="C278" s="5" t="s">
        <v>27</v>
      </c>
      <c r="D278" s="5">
        <v>151</v>
      </c>
      <c r="E278" s="7" t="s">
        <v>138</v>
      </c>
      <c r="F278" s="5" t="s">
        <v>139</v>
      </c>
      <c r="G278" s="5" t="s">
        <v>813</v>
      </c>
      <c r="H278" s="5">
        <v>4</v>
      </c>
      <c r="I278" s="8">
        <v>44835</v>
      </c>
      <c r="J278" s="8">
        <v>46295</v>
      </c>
      <c r="K278" s="5" t="s">
        <v>29</v>
      </c>
      <c r="L278" s="5" t="s">
        <v>35</v>
      </c>
      <c r="M278" s="28" t="s">
        <v>1223</v>
      </c>
      <c r="N278" s="21" t="s">
        <v>52</v>
      </c>
      <c r="O278" s="5" t="s">
        <v>64</v>
      </c>
      <c r="P278" s="53" t="s">
        <v>1165</v>
      </c>
      <c r="Q278" s="12"/>
      <c r="R278" s="5"/>
      <c r="S278" s="5" t="s">
        <v>275</v>
      </c>
      <c r="T278" s="5" t="s">
        <v>39</v>
      </c>
      <c r="U278" s="16">
        <v>34891</v>
      </c>
      <c r="V278" s="5" t="s">
        <v>1224</v>
      </c>
      <c r="W278" s="5" t="s">
        <v>40</v>
      </c>
      <c r="X278" s="6">
        <v>2019</v>
      </c>
      <c r="Y278" s="5"/>
    </row>
    <row r="279" spans="1:25" ht="13.8">
      <c r="A279" s="5" t="s">
        <v>1225</v>
      </c>
      <c r="B279" s="5" t="s">
        <v>26</v>
      </c>
      <c r="C279" s="5" t="s">
        <v>27</v>
      </c>
      <c r="D279" s="5">
        <v>122</v>
      </c>
      <c r="E279" s="30" t="s">
        <v>124</v>
      </c>
      <c r="F279" s="5" t="s">
        <v>125</v>
      </c>
      <c r="G279" s="5" t="s">
        <v>472</v>
      </c>
      <c r="H279" s="5">
        <v>4</v>
      </c>
      <c r="I279" s="8">
        <v>44835</v>
      </c>
      <c r="J279" s="8">
        <v>46295</v>
      </c>
      <c r="K279" s="5" t="s">
        <v>29</v>
      </c>
      <c r="L279" s="5" t="s">
        <v>35</v>
      </c>
      <c r="M279" s="28" t="s">
        <v>1226</v>
      </c>
      <c r="N279" s="21" t="s">
        <v>52</v>
      </c>
      <c r="O279" s="5" t="s">
        <v>64</v>
      </c>
      <c r="P279" s="53" t="s">
        <v>1227</v>
      </c>
      <c r="Q279" s="12"/>
      <c r="R279" s="5"/>
      <c r="S279" s="5"/>
      <c r="T279" s="5" t="s">
        <v>39</v>
      </c>
      <c r="U279" s="16">
        <v>35144</v>
      </c>
      <c r="V279" s="5" t="s">
        <v>1228</v>
      </c>
      <c r="W279" s="5" t="s">
        <v>40</v>
      </c>
      <c r="X279" s="6">
        <v>2018</v>
      </c>
      <c r="Y279" s="5" t="s">
        <v>266</v>
      </c>
    </row>
    <row r="280" spans="1:25" ht="15">
      <c r="A280" s="5" t="s">
        <v>1229</v>
      </c>
      <c r="B280" s="5" t="s">
        <v>26</v>
      </c>
      <c r="C280" s="5" t="s">
        <v>27</v>
      </c>
      <c r="D280" s="5">
        <v>122</v>
      </c>
      <c r="E280" s="7" t="s">
        <v>294</v>
      </c>
      <c r="F280" s="5" t="s">
        <v>311</v>
      </c>
      <c r="G280" s="5" t="s">
        <v>967</v>
      </c>
      <c r="H280" s="5">
        <v>2</v>
      </c>
      <c r="I280" s="8">
        <v>45566</v>
      </c>
      <c r="J280" s="9">
        <v>47026</v>
      </c>
      <c r="K280" s="5" t="s">
        <v>29</v>
      </c>
      <c r="L280" s="5" t="s">
        <v>141</v>
      </c>
      <c r="M280" s="66" t="s">
        <v>1230</v>
      </c>
      <c r="N280" s="5" t="s">
        <v>143</v>
      </c>
      <c r="O280" s="5"/>
      <c r="P280" s="44" t="s">
        <v>1231</v>
      </c>
      <c r="Q280" s="12"/>
      <c r="R280" s="5"/>
      <c r="S280" s="5"/>
      <c r="T280" s="5" t="s">
        <v>39</v>
      </c>
      <c r="U280" s="8">
        <v>35344</v>
      </c>
      <c r="V280" s="5"/>
      <c r="W280" s="5"/>
      <c r="X280" s="5"/>
      <c r="Y280" s="5" t="s">
        <v>299</v>
      </c>
    </row>
    <row r="281" spans="1:25" ht="18" customHeight="1">
      <c r="A281" s="28" t="s">
        <v>1232</v>
      </c>
      <c r="B281" s="5" t="s">
        <v>26</v>
      </c>
      <c r="C281" s="5" t="s">
        <v>27</v>
      </c>
      <c r="D281" s="29">
        <v>121</v>
      </c>
      <c r="E281" s="30" t="s">
        <v>77</v>
      </c>
      <c r="F281" s="5"/>
      <c r="G281" s="13" t="s">
        <v>532</v>
      </c>
      <c r="H281" s="5">
        <v>3</v>
      </c>
      <c r="I281" s="8">
        <v>45200</v>
      </c>
      <c r="J281" s="8">
        <v>46660</v>
      </c>
      <c r="K281" s="5" t="s">
        <v>29</v>
      </c>
      <c r="L281" s="5" t="s">
        <v>35</v>
      </c>
      <c r="M281" s="13" t="s">
        <v>1233</v>
      </c>
      <c r="N281" s="5" t="s">
        <v>85</v>
      </c>
      <c r="O281" s="5"/>
      <c r="P281" s="5" t="s">
        <v>1234</v>
      </c>
      <c r="Q281" s="12"/>
      <c r="R281" s="5"/>
      <c r="S281" s="5"/>
      <c r="T281" s="31" t="s">
        <v>39</v>
      </c>
      <c r="U281" s="33">
        <v>36246</v>
      </c>
      <c r="V281" s="5"/>
      <c r="W281" s="5"/>
      <c r="X281" s="5"/>
      <c r="Y281" s="5" t="s">
        <v>94</v>
      </c>
    </row>
    <row r="282" spans="1:25" ht="13.8">
      <c r="A282" s="5" t="s">
        <v>1235</v>
      </c>
      <c r="B282" s="5" t="s">
        <v>26</v>
      </c>
      <c r="C282" s="5" t="s">
        <v>27</v>
      </c>
      <c r="D282" s="5">
        <v>121</v>
      </c>
      <c r="E282" s="7" t="s">
        <v>77</v>
      </c>
      <c r="F282" s="5"/>
      <c r="G282" s="5" t="s">
        <v>521</v>
      </c>
      <c r="H282" s="5">
        <v>4</v>
      </c>
      <c r="I282" s="8">
        <v>44835</v>
      </c>
      <c r="J282" s="8">
        <v>46295</v>
      </c>
      <c r="K282" s="5" t="s">
        <v>29</v>
      </c>
      <c r="L282" s="5" t="s">
        <v>35</v>
      </c>
      <c r="M282" s="28" t="s">
        <v>1236</v>
      </c>
      <c r="N282" s="21" t="s">
        <v>52</v>
      </c>
      <c r="O282" s="5" t="s">
        <v>64</v>
      </c>
      <c r="P282" s="28" t="s">
        <v>1237</v>
      </c>
      <c r="Q282" s="12"/>
      <c r="R282" s="5"/>
      <c r="S282" s="5"/>
      <c r="T282" s="5" t="s">
        <v>39</v>
      </c>
      <c r="U282" s="16">
        <v>31558</v>
      </c>
      <c r="V282" s="5" t="s">
        <v>1238</v>
      </c>
      <c r="W282" s="5" t="s">
        <v>40</v>
      </c>
      <c r="X282" s="6">
        <v>2008</v>
      </c>
      <c r="Y282" s="5" t="s">
        <v>94</v>
      </c>
    </row>
    <row r="283" spans="1:25" ht="13.8">
      <c r="A283" s="5" t="s">
        <v>1239</v>
      </c>
      <c r="B283" s="5" t="s">
        <v>26</v>
      </c>
      <c r="C283" s="5" t="s">
        <v>27</v>
      </c>
      <c r="D283" s="5">
        <v>123</v>
      </c>
      <c r="E283" s="7" t="s">
        <v>108</v>
      </c>
      <c r="F283" s="5" t="s">
        <v>250</v>
      </c>
      <c r="G283" s="5" t="s">
        <v>1138</v>
      </c>
      <c r="H283" s="5">
        <v>4</v>
      </c>
      <c r="I283" s="8">
        <v>44835</v>
      </c>
      <c r="J283" s="8">
        <v>46295</v>
      </c>
      <c r="K283" s="5" t="s">
        <v>29</v>
      </c>
      <c r="L283" s="5" t="s">
        <v>35</v>
      </c>
      <c r="M283" s="60" t="s">
        <v>1240</v>
      </c>
      <c r="N283" s="21" t="s">
        <v>52</v>
      </c>
      <c r="O283" s="5" t="s">
        <v>64</v>
      </c>
      <c r="P283" s="53" t="s">
        <v>1241</v>
      </c>
      <c r="Q283" s="12"/>
      <c r="R283" s="5"/>
      <c r="S283" s="5"/>
      <c r="T283" s="5" t="s">
        <v>39</v>
      </c>
      <c r="U283" s="16">
        <v>35789</v>
      </c>
      <c r="V283" s="50" t="s">
        <v>1242</v>
      </c>
      <c r="W283" s="5" t="s">
        <v>40</v>
      </c>
      <c r="X283" s="6">
        <v>2021</v>
      </c>
      <c r="Y283" s="5" t="s">
        <v>112</v>
      </c>
    </row>
    <row r="284" spans="1:25" ht="13.8">
      <c r="A284" s="28" t="s">
        <v>1243</v>
      </c>
      <c r="B284" s="5" t="s">
        <v>26</v>
      </c>
      <c r="C284" s="5" t="s">
        <v>27</v>
      </c>
      <c r="D284" s="29">
        <v>122</v>
      </c>
      <c r="E284" s="30" t="s">
        <v>33</v>
      </c>
      <c r="F284" s="5"/>
      <c r="G284" s="13" t="s">
        <v>1180</v>
      </c>
      <c r="H284" s="5">
        <v>3</v>
      </c>
      <c r="I284" s="8">
        <v>45200</v>
      </c>
      <c r="J284" s="8">
        <v>46660</v>
      </c>
      <c r="K284" s="5" t="s">
        <v>29</v>
      </c>
      <c r="L284" s="5" t="s">
        <v>50</v>
      </c>
      <c r="M284" s="13" t="s">
        <v>1244</v>
      </c>
      <c r="N284" s="5" t="s">
        <v>85</v>
      </c>
      <c r="O284" s="5"/>
      <c r="P284" s="5" t="s">
        <v>1245</v>
      </c>
      <c r="Q284" s="12"/>
      <c r="R284" s="5"/>
      <c r="S284" s="5"/>
      <c r="T284" s="31" t="s">
        <v>39</v>
      </c>
      <c r="U284" s="33">
        <v>36567</v>
      </c>
      <c r="V284" s="5"/>
      <c r="W284" s="5"/>
      <c r="X284" s="5"/>
      <c r="Y284" s="5" t="s">
        <v>41</v>
      </c>
    </row>
    <row r="285" spans="1:25" ht="55.2">
      <c r="A285" s="13" t="s">
        <v>1246</v>
      </c>
      <c r="B285" s="5" t="s">
        <v>68</v>
      </c>
      <c r="C285" s="5" t="s">
        <v>1247</v>
      </c>
      <c r="D285" s="5">
        <v>113</v>
      </c>
      <c r="E285" s="7" t="s">
        <v>203</v>
      </c>
      <c r="F285" s="5"/>
      <c r="G285" s="5" t="s">
        <v>732</v>
      </c>
      <c r="H285" s="5">
        <v>2</v>
      </c>
      <c r="I285" s="8">
        <v>45047</v>
      </c>
      <c r="J285" s="8">
        <v>46873</v>
      </c>
      <c r="K285" s="5" t="s">
        <v>29</v>
      </c>
      <c r="L285" s="5" t="s">
        <v>35</v>
      </c>
      <c r="M285" s="60" t="s">
        <v>1248</v>
      </c>
      <c r="N285" s="12" t="s">
        <v>37</v>
      </c>
      <c r="O285" s="5"/>
      <c r="P285" s="91" t="s">
        <v>1249</v>
      </c>
      <c r="Q285" s="12"/>
      <c r="R285" s="5"/>
      <c r="S285" s="5" t="s">
        <v>1250</v>
      </c>
      <c r="T285" s="5" t="s">
        <v>39</v>
      </c>
      <c r="U285" s="16">
        <v>35279</v>
      </c>
      <c r="V285" s="5">
        <f>380992788782</f>
        <v>380992788782</v>
      </c>
      <c r="W285" s="5" t="s">
        <v>40</v>
      </c>
      <c r="X285" s="6">
        <v>2019</v>
      </c>
      <c r="Y285" s="5"/>
    </row>
    <row r="286" spans="1:25" ht="13.8">
      <c r="A286" s="13" t="s">
        <v>1251</v>
      </c>
      <c r="B286" s="5" t="s">
        <v>26</v>
      </c>
      <c r="C286" s="5" t="s">
        <v>705</v>
      </c>
      <c r="D286" s="5">
        <v>123</v>
      </c>
      <c r="E286" s="7" t="s">
        <v>249</v>
      </c>
      <c r="F286" s="5" t="s">
        <v>250</v>
      </c>
      <c r="G286" s="5" t="s">
        <v>251</v>
      </c>
      <c r="H286" s="5">
        <v>1</v>
      </c>
      <c r="I286" s="8">
        <v>45611</v>
      </c>
      <c r="J286" s="8">
        <v>47071</v>
      </c>
      <c r="K286" s="5" t="s">
        <v>83</v>
      </c>
      <c r="L286" s="5" t="s">
        <v>707</v>
      </c>
      <c r="M286" s="60" t="s">
        <v>1252</v>
      </c>
      <c r="N286" s="5" t="s">
        <v>1253</v>
      </c>
      <c r="O286" s="5"/>
      <c r="P286" s="35"/>
      <c r="Q286" s="12"/>
      <c r="R286" s="5"/>
      <c r="S286" s="5"/>
      <c r="T286" s="5"/>
      <c r="U286" s="5"/>
      <c r="V286" s="5"/>
      <c r="W286" s="5"/>
      <c r="X286" s="5"/>
      <c r="Y286" s="5" t="s">
        <v>299</v>
      </c>
    </row>
    <row r="287" spans="1:25" ht="13.8">
      <c r="A287" s="5" t="s">
        <v>1254</v>
      </c>
      <c r="B287" s="5" t="s">
        <v>26</v>
      </c>
      <c r="C287" s="5" t="s">
        <v>27</v>
      </c>
      <c r="D287" s="5">
        <v>121</v>
      </c>
      <c r="E287" s="7" t="s">
        <v>77</v>
      </c>
      <c r="F287" s="5"/>
      <c r="G287" s="5" t="s">
        <v>851</v>
      </c>
      <c r="H287" s="5">
        <v>4</v>
      </c>
      <c r="I287" s="8">
        <v>44835</v>
      </c>
      <c r="J287" s="8">
        <v>46295</v>
      </c>
      <c r="K287" s="5" t="s">
        <v>29</v>
      </c>
      <c r="L287" s="5" t="s">
        <v>35</v>
      </c>
      <c r="M287" s="60" t="s">
        <v>1255</v>
      </c>
      <c r="N287" s="21" t="s">
        <v>52</v>
      </c>
      <c r="O287" s="5" t="s">
        <v>64</v>
      </c>
      <c r="P287" s="53" t="s">
        <v>1256</v>
      </c>
      <c r="Q287" s="12"/>
      <c r="R287" s="5"/>
      <c r="S287" s="5"/>
      <c r="T287" s="5" t="s">
        <v>39</v>
      </c>
      <c r="U287" s="16">
        <v>35558</v>
      </c>
      <c r="V287" s="5" t="s">
        <v>1257</v>
      </c>
      <c r="W287" s="5" t="s">
        <v>40</v>
      </c>
      <c r="X287" s="6">
        <v>2020</v>
      </c>
      <c r="Y287" s="5" t="s">
        <v>94</v>
      </c>
    </row>
    <row r="288" spans="1:25" ht="27.75" customHeight="1">
      <c r="A288" s="5" t="s">
        <v>1258</v>
      </c>
      <c r="B288" s="5" t="s">
        <v>26</v>
      </c>
      <c r="C288" s="5" t="s">
        <v>27</v>
      </c>
      <c r="D288" s="5">
        <v>171</v>
      </c>
      <c r="E288" s="7" t="s">
        <v>115</v>
      </c>
      <c r="F288" s="5"/>
      <c r="G288" s="5" t="s">
        <v>1259</v>
      </c>
      <c r="H288" s="5">
        <v>2</v>
      </c>
      <c r="I288" s="8">
        <v>45566</v>
      </c>
      <c r="J288" s="9">
        <v>47026</v>
      </c>
      <c r="K288" s="5" t="s">
        <v>29</v>
      </c>
      <c r="L288" s="5" t="s">
        <v>141</v>
      </c>
      <c r="M288" s="5" t="s">
        <v>1260</v>
      </c>
      <c r="N288" s="5" t="s">
        <v>143</v>
      </c>
      <c r="O288" s="5"/>
      <c r="P288" s="44" t="s">
        <v>1261</v>
      </c>
      <c r="Q288" s="12"/>
      <c r="R288" s="5"/>
      <c r="S288" s="5"/>
      <c r="T288" s="5" t="s">
        <v>39</v>
      </c>
      <c r="U288" s="8">
        <v>32949</v>
      </c>
      <c r="V288" s="5"/>
      <c r="W288" s="5"/>
      <c r="X288" s="5"/>
      <c r="Y288" s="5" t="s">
        <v>160</v>
      </c>
    </row>
    <row r="289" spans="1:25" ht="18.75" customHeight="1">
      <c r="A289" s="5" t="s">
        <v>1262</v>
      </c>
      <c r="B289" s="5" t="s">
        <v>26</v>
      </c>
      <c r="C289" s="5" t="s">
        <v>27</v>
      </c>
      <c r="D289" s="5">
        <v>126</v>
      </c>
      <c r="E289" s="7" t="s">
        <v>80</v>
      </c>
      <c r="F289" s="5" t="s">
        <v>81</v>
      </c>
      <c r="G289" s="5" t="s">
        <v>350</v>
      </c>
      <c r="H289" s="5">
        <v>4</v>
      </c>
      <c r="I289" s="8">
        <v>44835</v>
      </c>
      <c r="J289" s="8">
        <v>46295</v>
      </c>
      <c r="K289" s="5" t="s">
        <v>29</v>
      </c>
      <c r="L289" s="5" t="s">
        <v>35</v>
      </c>
      <c r="M289" s="28" t="s">
        <v>1263</v>
      </c>
      <c r="N289" s="21" t="s">
        <v>52</v>
      </c>
      <c r="O289" s="5" t="s">
        <v>64</v>
      </c>
      <c r="P289" s="53" t="s">
        <v>1264</v>
      </c>
      <c r="Q289" s="12"/>
      <c r="R289" s="5"/>
      <c r="S289" s="5"/>
      <c r="T289" s="5" t="s">
        <v>39</v>
      </c>
      <c r="U289" s="16">
        <v>32691</v>
      </c>
      <c r="V289" s="5" t="s">
        <v>1265</v>
      </c>
      <c r="W289" s="5" t="s">
        <v>40</v>
      </c>
      <c r="X289" s="6">
        <v>2011</v>
      </c>
      <c r="Y289" s="5" t="s">
        <v>88</v>
      </c>
    </row>
    <row r="290" spans="1:25" ht="13.8">
      <c r="A290" s="13" t="s">
        <v>1266</v>
      </c>
      <c r="B290" s="5" t="s">
        <v>26</v>
      </c>
      <c r="C290" s="5" t="s">
        <v>27</v>
      </c>
      <c r="D290" s="29">
        <v>51</v>
      </c>
      <c r="E290" s="30" t="s">
        <v>192</v>
      </c>
      <c r="F290" s="5" t="s">
        <v>193</v>
      </c>
      <c r="G290" s="13" t="s">
        <v>1267</v>
      </c>
      <c r="H290" s="5">
        <v>2</v>
      </c>
      <c r="I290" s="8">
        <v>45231</v>
      </c>
      <c r="J290" s="36">
        <v>46691</v>
      </c>
      <c r="K290" s="5" t="s">
        <v>29</v>
      </c>
      <c r="L290" s="5" t="s">
        <v>35</v>
      </c>
      <c r="M290" s="13" t="s">
        <v>1268</v>
      </c>
      <c r="N290" s="37" t="s">
        <v>128</v>
      </c>
      <c r="O290" s="5"/>
      <c r="P290" s="5" t="s">
        <v>1269</v>
      </c>
      <c r="Q290" s="12"/>
      <c r="R290" s="5"/>
      <c r="S290" s="5"/>
      <c r="T290" s="5" t="s">
        <v>39</v>
      </c>
      <c r="U290" s="33">
        <v>28671</v>
      </c>
      <c r="V290" s="5"/>
      <c r="W290" s="5"/>
      <c r="X290" s="5"/>
      <c r="Y290" s="5" t="s">
        <v>41</v>
      </c>
    </row>
    <row r="291" spans="1:25" ht="13.8">
      <c r="A291" s="13" t="s">
        <v>1270</v>
      </c>
      <c r="B291" s="5" t="s">
        <v>26</v>
      </c>
      <c r="C291" s="5" t="s">
        <v>27</v>
      </c>
      <c r="D291" s="6" t="s">
        <v>43</v>
      </c>
      <c r="E291" s="7"/>
      <c r="F291" s="5"/>
      <c r="G291" s="5"/>
      <c r="H291" s="5">
        <v>1</v>
      </c>
      <c r="I291" s="8">
        <v>45931</v>
      </c>
      <c r="J291" s="8">
        <v>47391</v>
      </c>
      <c r="K291" s="5" t="s">
        <v>29</v>
      </c>
      <c r="L291" s="5" t="s">
        <v>30</v>
      </c>
      <c r="M291" s="34" t="s">
        <v>1271</v>
      </c>
      <c r="N291" s="5" t="s">
        <v>45</v>
      </c>
      <c r="O291" s="5"/>
      <c r="P291" s="35"/>
      <c r="Q291" s="12"/>
      <c r="R291" s="5"/>
      <c r="S291" s="5"/>
      <c r="T291" s="5"/>
      <c r="U291" s="5"/>
      <c r="V291" s="5"/>
      <c r="W291" s="5"/>
      <c r="X291" s="5"/>
      <c r="Y291" s="5"/>
    </row>
    <row r="292" spans="1:25" ht="15">
      <c r="A292" s="5" t="s">
        <v>1272</v>
      </c>
      <c r="B292" s="5" t="s">
        <v>26</v>
      </c>
      <c r="C292" s="5" t="s">
        <v>27</v>
      </c>
      <c r="D292" s="5">
        <v>51</v>
      </c>
      <c r="E292" s="7" t="s">
        <v>192</v>
      </c>
      <c r="F292" s="5" t="s">
        <v>193</v>
      </c>
      <c r="G292" s="5" t="s">
        <v>1273</v>
      </c>
      <c r="H292" s="5">
        <v>2</v>
      </c>
      <c r="I292" s="8">
        <v>45566</v>
      </c>
      <c r="J292" s="9">
        <v>47026</v>
      </c>
      <c r="K292" s="5" t="s">
        <v>29</v>
      </c>
      <c r="L292" s="5" t="s">
        <v>141</v>
      </c>
      <c r="M292" s="5" t="s">
        <v>1274</v>
      </c>
      <c r="N292" s="5" t="s">
        <v>143</v>
      </c>
      <c r="O292" s="5"/>
      <c r="P292" s="44" t="s">
        <v>1275</v>
      </c>
      <c r="Q292" s="12"/>
      <c r="R292" s="5"/>
      <c r="S292" s="5"/>
      <c r="T292" s="5" t="s">
        <v>39</v>
      </c>
      <c r="U292" s="8">
        <v>31876</v>
      </c>
      <c r="V292" s="5"/>
      <c r="W292" s="5"/>
      <c r="X292" s="5"/>
      <c r="Y292" s="5" t="s">
        <v>41</v>
      </c>
    </row>
    <row r="293" spans="1:25" ht="13.8">
      <c r="A293" s="83" t="s">
        <v>1276</v>
      </c>
      <c r="B293" s="5" t="s">
        <v>47</v>
      </c>
      <c r="C293" s="5" t="s">
        <v>27</v>
      </c>
      <c r="D293" s="5">
        <v>125</v>
      </c>
      <c r="E293" s="7" t="s">
        <v>104</v>
      </c>
      <c r="F293" s="5"/>
      <c r="G293" s="5" t="s">
        <v>632</v>
      </c>
      <c r="H293" s="5"/>
      <c r="I293" s="48">
        <v>44470</v>
      </c>
      <c r="J293" s="48">
        <v>45747</v>
      </c>
      <c r="K293" s="5" t="s">
        <v>29</v>
      </c>
      <c r="L293" s="5" t="s">
        <v>30</v>
      </c>
      <c r="M293" s="13" t="s">
        <v>1277</v>
      </c>
      <c r="N293" s="12" t="s">
        <v>270</v>
      </c>
      <c r="O293" s="5"/>
      <c r="P293" s="53" t="s">
        <v>1278</v>
      </c>
      <c r="Q293" s="12" t="s">
        <v>1279</v>
      </c>
      <c r="R293" s="5"/>
      <c r="S293" s="5"/>
      <c r="T293" s="5" t="s">
        <v>39</v>
      </c>
      <c r="U293" s="70">
        <v>35809</v>
      </c>
      <c r="V293" s="5" t="s">
        <v>1280</v>
      </c>
      <c r="W293" s="5" t="s">
        <v>40</v>
      </c>
      <c r="X293" s="5">
        <v>2020</v>
      </c>
      <c r="Y293" s="5"/>
    </row>
    <row r="294" spans="1:25" ht="13.8">
      <c r="A294" s="13" t="s">
        <v>1281</v>
      </c>
      <c r="B294" s="5" t="s">
        <v>26</v>
      </c>
      <c r="C294" s="5" t="s">
        <v>27</v>
      </c>
      <c r="D294" s="5">
        <v>51</v>
      </c>
      <c r="E294" s="7" t="s">
        <v>192</v>
      </c>
      <c r="F294" s="5"/>
      <c r="G294" s="5" t="s">
        <v>1089</v>
      </c>
      <c r="H294" s="5">
        <v>3</v>
      </c>
      <c r="I294" s="8">
        <v>45047</v>
      </c>
      <c r="J294" s="8">
        <v>46507</v>
      </c>
      <c r="K294" s="5" t="s">
        <v>29</v>
      </c>
      <c r="L294" s="5" t="s">
        <v>35</v>
      </c>
      <c r="M294" s="60" t="s">
        <v>1282</v>
      </c>
      <c r="N294" s="12" t="s">
        <v>37</v>
      </c>
      <c r="O294" s="5"/>
      <c r="P294" s="72" t="s">
        <v>1283</v>
      </c>
      <c r="Q294" s="12"/>
      <c r="R294" s="5"/>
      <c r="S294" s="5"/>
      <c r="T294" s="5" t="s">
        <v>39</v>
      </c>
      <c r="U294" s="16">
        <v>26786</v>
      </c>
      <c r="V294" s="5">
        <f>380674604411</f>
        <v>380674604411</v>
      </c>
      <c r="W294" s="5" t="s">
        <v>1284</v>
      </c>
      <c r="X294" s="6">
        <v>2003</v>
      </c>
      <c r="Y294" s="5" t="s">
        <v>41</v>
      </c>
    </row>
    <row r="295" spans="1:25" ht="13.8">
      <c r="A295" s="13" t="s">
        <v>1285</v>
      </c>
      <c r="B295" s="5" t="s">
        <v>26</v>
      </c>
      <c r="C295" s="5" t="s">
        <v>27</v>
      </c>
      <c r="D295" s="5">
        <v>122</v>
      </c>
      <c r="E295" s="7" t="s">
        <v>294</v>
      </c>
      <c r="F295" s="5" t="s">
        <v>295</v>
      </c>
      <c r="G295" s="5" t="s">
        <v>672</v>
      </c>
      <c r="H295" s="5">
        <v>3</v>
      </c>
      <c r="I295" s="8">
        <v>45047</v>
      </c>
      <c r="J295" s="8">
        <v>46507</v>
      </c>
      <c r="K295" s="5" t="s">
        <v>29</v>
      </c>
      <c r="L295" s="5" t="s">
        <v>35</v>
      </c>
      <c r="M295" s="60" t="s">
        <v>1286</v>
      </c>
      <c r="N295" s="12" t="s">
        <v>37</v>
      </c>
      <c r="O295" s="5"/>
      <c r="P295" s="86" t="s">
        <v>1287</v>
      </c>
      <c r="Q295" s="12"/>
      <c r="R295" s="5"/>
      <c r="S295" s="5"/>
      <c r="T295" s="5" t="s">
        <v>39</v>
      </c>
      <c r="U295" s="16">
        <v>26887</v>
      </c>
      <c r="V295" s="5">
        <f>380679092259</f>
        <v>380679092259</v>
      </c>
      <c r="W295" s="5" t="s">
        <v>1288</v>
      </c>
      <c r="X295" s="6">
        <v>1997</v>
      </c>
      <c r="Y295" s="5" t="s">
        <v>299</v>
      </c>
    </row>
    <row r="296" spans="1:25" ht="13.8">
      <c r="A296" s="5" t="s">
        <v>1289</v>
      </c>
      <c r="B296" s="5" t="s">
        <v>26</v>
      </c>
      <c r="C296" s="5" t="s">
        <v>27</v>
      </c>
      <c r="D296" s="5">
        <v>171</v>
      </c>
      <c r="E296" s="7" t="s">
        <v>262</v>
      </c>
      <c r="F296" s="5"/>
      <c r="G296" s="5" t="s">
        <v>1048</v>
      </c>
      <c r="H296" s="5">
        <v>4</v>
      </c>
      <c r="I296" s="8">
        <v>44835</v>
      </c>
      <c r="J296" s="8">
        <v>46295</v>
      </c>
      <c r="K296" s="5" t="s">
        <v>29</v>
      </c>
      <c r="L296" s="5" t="s">
        <v>35</v>
      </c>
      <c r="M296" s="28" t="s">
        <v>1290</v>
      </c>
      <c r="N296" s="21" t="s">
        <v>52</v>
      </c>
      <c r="O296" s="5" t="s">
        <v>64</v>
      </c>
      <c r="P296" s="53" t="s">
        <v>1291</v>
      </c>
      <c r="Q296" s="12"/>
      <c r="R296" s="5"/>
      <c r="S296" s="5" t="s">
        <v>1292</v>
      </c>
      <c r="T296" s="5" t="s">
        <v>39</v>
      </c>
      <c r="U296" s="16">
        <v>34020</v>
      </c>
      <c r="V296" s="5" t="s">
        <v>1293</v>
      </c>
      <c r="W296" s="5" t="s">
        <v>1294</v>
      </c>
      <c r="X296" s="6">
        <v>2015</v>
      </c>
      <c r="Y296" s="5" t="s">
        <v>266</v>
      </c>
    </row>
    <row r="297" spans="1:25" ht="13.8">
      <c r="A297" s="13" t="s">
        <v>1295</v>
      </c>
      <c r="B297" s="5" t="s">
        <v>26</v>
      </c>
      <c r="C297" s="5" t="s">
        <v>27</v>
      </c>
      <c r="D297" s="29">
        <v>163</v>
      </c>
      <c r="E297" s="30" t="s">
        <v>90</v>
      </c>
      <c r="F297" s="5"/>
      <c r="G297" s="13" t="s">
        <v>1296</v>
      </c>
      <c r="H297" s="5">
        <v>2</v>
      </c>
      <c r="I297" s="8">
        <v>45231</v>
      </c>
      <c r="J297" s="36">
        <v>46691</v>
      </c>
      <c r="K297" s="5" t="s">
        <v>29</v>
      </c>
      <c r="L297" s="5" t="s">
        <v>35</v>
      </c>
      <c r="M297" s="13" t="s">
        <v>1297</v>
      </c>
      <c r="N297" s="5" t="s">
        <v>128</v>
      </c>
      <c r="O297" s="5"/>
      <c r="P297" s="5" t="s">
        <v>1298</v>
      </c>
      <c r="Q297" s="12"/>
      <c r="R297" s="5"/>
      <c r="S297" s="5"/>
      <c r="T297" s="37" t="s">
        <v>39</v>
      </c>
      <c r="U297" s="33">
        <v>27408</v>
      </c>
      <c r="V297" s="5"/>
      <c r="W297" s="5"/>
      <c r="X297" s="5"/>
      <c r="Y297" s="5" t="s">
        <v>94</v>
      </c>
    </row>
    <row r="298" spans="1:25" ht="13.8">
      <c r="A298" s="28" t="s">
        <v>1299</v>
      </c>
      <c r="B298" s="5" t="s">
        <v>26</v>
      </c>
      <c r="C298" s="5" t="s">
        <v>27</v>
      </c>
      <c r="D298" s="29">
        <v>126</v>
      </c>
      <c r="E298" s="30" t="s">
        <v>80</v>
      </c>
      <c r="F298" s="5" t="s">
        <v>81</v>
      </c>
      <c r="G298" s="13" t="s">
        <v>1300</v>
      </c>
      <c r="H298" s="5">
        <v>3</v>
      </c>
      <c r="I298" s="8">
        <v>45200</v>
      </c>
      <c r="J298" s="8">
        <v>46660</v>
      </c>
      <c r="K298" s="5" t="s">
        <v>29</v>
      </c>
      <c r="L298" s="5" t="s">
        <v>35</v>
      </c>
      <c r="M298" s="60" t="s">
        <v>1301</v>
      </c>
      <c r="N298" s="5" t="s">
        <v>85</v>
      </c>
      <c r="O298" s="5"/>
      <c r="P298" s="5" t="s">
        <v>1302</v>
      </c>
      <c r="Q298" s="12"/>
      <c r="R298" s="5"/>
      <c r="S298" s="5" t="s">
        <v>1303</v>
      </c>
      <c r="T298" s="31" t="s">
        <v>39</v>
      </c>
      <c r="U298" s="33">
        <v>34829</v>
      </c>
      <c r="V298" s="5"/>
      <c r="W298" s="5"/>
      <c r="X298" s="5"/>
      <c r="Y298" s="5" t="s">
        <v>88</v>
      </c>
    </row>
    <row r="299" spans="1:25" ht="13.8">
      <c r="A299" s="13" t="s">
        <v>1304</v>
      </c>
      <c r="B299" s="5" t="s">
        <v>26</v>
      </c>
      <c r="C299" s="5" t="s">
        <v>27</v>
      </c>
      <c r="D299" s="29">
        <v>123</v>
      </c>
      <c r="E299" s="30" t="s">
        <v>80</v>
      </c>
      <c r="F299" s="5" t="s">
        <v>81</v>
      </c>
      <c r="G299" s="13" t="s">
        <v>1305</v>
      </c>
      <c r="H299" s="5">
        <v>3</v>
      </c>
      <c r="I299" s="8">
        <v>45200</v>
      </c>
      <c r="J299" s="8">
        <v>46660</v>
      </c>
      <c r="K299" s="5" t="s">
        <v>29</v>
      </c>
      <c r="L299" s="5" t="s">
        <v>50</v>
      </c>
      <c r="M299" s="13" t="s">
        <v>1306</v>
      </c>
      <c r="N299" s="5" t="s">
        <v>85</v>
      </c>
      <c r="O299" s="5"/>
      <c r="P299" s="5" t="s">
        <v>1307</v>
      </c>
      <c r="Q299" s="12"/>
      <c r="R299" s="5"/>
      <c r="S299" s="5"/>
      <c r="T299" s="31" t="s">
        <v>39</v>
      </c>
      <c r="U299" s="33">
        <v>35997</v>
      </c>
      <c r="V299" s="5"/>
      <c r="W299" s="5"/>
      <c r="X299" s="5"/>
      <c r="Y299" s="5" t="s">
        <v>88</v>
      </c>
    </row>
    <row r="300" spans="1:25" ht="15">
      <c r="A300" s="5" t="s">
        <v>1308</v>
      </c>
      <c r="B300" s="5" t="s">
        <v>26</v>
      </c>
      <c r="C300" s="5" t="s">
        <v>27</v>
      </c>
      <c r="D300" s="5">
        <v>121</v>
      </c>
      <c r="E300" s="7" t="s">
        <v>77</v>
      </c>
      <c r="F300" s="5"/>
      <c r="G300" s="5" t="s">
        <v>1309</v>
      </c>
      <c r="H300" s="5">
        <v>2</v>
      </c>
      <c r="I300" s="8">
        <v>45566</v>
      </c>
      <c r="J300" s="9">
        <v>47026</v>
      </c>
      <c r="K300" s="5" t="s">
        <v>29</v>
      </c>
      <c r="L300" s="5" t="s">
        <v>141</v>
      </c>
      <c r="M300" s="5" t="s">
        <v>1310</v>
      </c>
      <c r="N300" s="5" t="s">
        <v>143</v>
      </c>
      <c r="O300" s="5"/>
      <c r="P300" s="44" t="s">
        <v>1311</v>
      </c>
      <c r="Q300" s="12"/>
      <c r="R300" s="5"/>
      <c r="S300" s="5"/>
      <c r="T300" s="5" t="s">
        <v>39</v>
      </c>
      <c r="U300" s="8">
        <v>37110</v>
      </c>
      <c r="V300" s="5"/>
      <c r="W300" s="5"/>
      <c r="X300" s="5"/>
      <c r="Y300" s="5" t="s">
        <v>94</v>
      </c>
    </row>
    <row r="301" spans="1:25" ht="15">
      <c r="A301" s="5" t="s">
        <v>1312</v>
      </c>
      <c r="B301" s="5" t="s">
        <v>26</v>
      </c>
      <c r="C301" s="5" t="s">
        <v>27</v>
      </c>
      <c r="D301" s="5">
        <v>51</v>
      </c>
      <c r="E301" s="7" t="s">
        <v>192</v>
      </c>
      <c r="F301" s="5" t="s">
        <v>193</v>
      </c>
      <c r="G301" s="5" t="s">
        <v>1313</v>
      </c>
      <c r="H301" s="5">
        <v>2</v>
      </c>
      <c r="I301" s="8">
        <v>45566</v>
      </c>
      <c r="J301" s="9">
        <v>47026</v>
      </c>
      <c r="K301" s="5" t="s">
        <v>29</v>
      </c>
      <c r="L301" s="5" t="s">
        <v>141</v>
      </c>
      <c r="M301" s="5" t="s">
        <v>1314</v>
      </c>
      <c r="N301" s="5" t="s">
        <v>143</v>
      </c>
      <c r="O301" s="5"/>
      <c r="P301" s="44" t="s">
        <v>1315</v>
      </c>
      <c r="Q301" s="12"/>
      <c r="R301" s="5"/>
      <c r="S301" s="5"/>
      <c r="T301" s="5" t="s">
        <v>39</v>
      </c>
      <c r="U301" s="8">
        <v>32910</v>
      </c>
      <c r="V301" s="5"/>
      <c r="W301" s="5"/>
      <c r="X301" s="5"/>
      <c r="Y301" s="5" t="s">
        <v>41</v>
      </c>
    </row>
    <row r="302" spans="1:25" ht="15">
      <c r="A302" s="5" t="s">
        <v>1316</v>
      </c>
      <c r="B302" s="5" t="s">
        <v>26</v>
      </c>
      <c r="C302" s="5" t="s">
        <v>27</v>
      </c>
      <c r="D302" s="5">
        <v>174</v>
      </c>
      <c r="E302" s="7" t="s">
        <v>138</v>
      </c>
      <c r="F302" s="5" t="s">
        <v>139</v>
      </c>
      <c r="G302" s="5" t="s">
        <v>813</v>
      </c>
      <c r="H302" s="5">
        <v>2</v>
      </c>
      <c r="I302" s="8">
        <v>45566</v>
      </c>
      <c r="J302" s="9">
        <v>47026</v>
      </c>
      <c r="K302" s="5" t="s">
        <v>29</v>
      </c>
      <c r="L302" s="5" t="s">
        <v>141</v>
      </c>
      <c r="M302" s="5" t="s">
        <v>1317</v>
      </c>
      <c r="N302" s="5" t="s">
        <v>143</v>
      </c>
      <c r="O302" s="5"/>
      <c r="P302" s="44" t="s">
        <v>1318</v>
      </c>
      <c r="Q302" s="12"/>
      <c r="R302" s="5"/>
      <c r="S302" s="5"/>
      <c r="T302" s="5" t="s">
        <v>39</v>
      </c>
      <c r="U302" s="8">
        <v>37113</v>
      </c>
      <c r="V302" s="5"/>
      <c r="W302" s="5"/>
      <c r="X302" s="5"/>
      <c r="Y302" s="5"/>
    </row>
    <row r="303" spans="1:25" ht="13.8">
      <c r="A303" s="13" t="s">
        <v>1319</v>
      </c>
      <c r="B303" s="5" t="s">
        <v>26</v>
      </c>
      <c r="C303" s="5" t="s">
        <v>27</v>
      </c>
      <c r="D303" s="29">
        <v>174</v>
      </c>
      <c r="E303" s="30" t="s">
        <v>138</v>
      </c>
      <c r="F303" s="5" t="s">
        <v>139</v>
      </c>
      <c r="G303" s="52" t="s">
        <v>258</v>
      </c>
      <c r="H303" s="5">
        <v>2</v>
      </c>
      <c r="I303" s="8">
        <v>45231</v>
      </c>
      <c r="J303" s="36">
        <v>46691</v>
      </c>
      <c r="K303" s="5" t="s">
        <v>29</v>
      </c>
      <c r="L303" s="5" t="s">
        <v>35</v>
      </c>
      <c r="M303" s="13" t="s">
        <v>1320</v>
      </c>
      <c r="N303" s="37" t="s">
        <v>128</v>
      </c>
      <c r="O303" s="5"/>
      <c r="P303" s="5" t="s">
        <v>1321</v>
      </c>
      <c r="Q303" s="12"/>
      <c r="R303" s="5"/>
      <c r="S303" s="5"/>
      <c r="T303" s="5" t="s">
        <v>39</v>
      </c>
      <c r="U303" s="33">
        <v>36649</v>
      </c>
      <c r="V303" s="5"/>
      <c r="W303" s="5"/>
      <c r="X303" s="5"/>
      <c r="Y303" s="5"/>
    </row>
    <row r="304" spans="1:25" ht="13.8">
      <c r="A304" s="5" t="s">
        <v>1322</v>
      </c>
      <c r="B304" s="5" t="s">
        <v>26</v>
      </c>
      <c r="C304" s="5" t="s">
        <v>118</v>
      </c>
      <c r="D304" s="6" t="s">
        <v>43</v>
      </c>
      <c r="E304" s="7" t="s">
        <v>322</v>
      </c>
      <c r="F304" s="5"/>
      <c r="G304" s="5"/>
      <c r="H304" s="5">
        <v>1</v>
      </c>
      <c r="I304" s="8">
        <v>45930</v>
      </c>
      <c r="J304" s="8">
        <v>47390</v>
      </c>
      <c r="K304" s="5" t="s">
        <v>120</v>
      </c>
      <c r="L304" s="5" t="s">
        <v>35</v>
      </c>
      <c r="M304" s="5" t="s">
        <v>1323</v>
      </c>
      <c r="N304" s="5" t="s">
        <v>1201</v>
      </c>
      <c r="O304" s="5"/>
      <c r="P304" s="35"/>
      <c r="Q304" s="12"/>
      <c r="R304" s="5"/>
      <c r="S304" s="5"/>
      <c r="T304" s="5"/>
      <c r="U304" s="5"/>
      <c r="V304" s="5"/>
      <c r="W304" s="5"/>
      <c r="X304" s="5"/>
      <c r="Y304" s="5"/>
    </row>
    <row r="305" spans="1:25" ht="13.8">
      <c r="A305" s="28" t="s">
        <v>1324</v>
      </c>
      <c r="B305" s="5" t="s">
        <v>26</v>
      </c>
      <c r="C305" s="5" t="s">
        <v>27</v>
      </c>
      <c r="D305" s="29">
        <v>113</v>
      </c>
      <c r="E305" s="30" t="s">
        <v>203</v>
      </c>
      <c r="F305" s="5"/>
      <c r="G305" s="13" t="s">
        <v>563</v>
      </c>
      <c r="H305" s="5">
        <v>3</v>
      </c>
      <c r="I305" s="8">
        <v>45200</v>
      </c>
      <c r="J305" s="8">
        <v>46660</v>
      </c>
      <c r="K305" s="5" t="s">
        <v>29</v>
      </c>
      <c r="L305" s="5" t="s">
        <v>35</v>
      </c>
      <c r="M305" s="13" t="s">
        <v>1325</v>
      </c>
      <c r="N305" s="5" t="s">
        <v>85</v>
      </c>
      <c r="O305" s="5"/>
      <c r="P305" s="5" t="s">
        <v>1326</v>
      </c>
      <c r="Q305" s="12"/>
      <c r="R305" s="5"/>
      <c r="S305" s="5"/>
      <c r="T305" s="31" t="s">
        <v>39</v>
      </c>
      <c r="U305" s="33">
        <v>35372</v>
      </c>
      <c r="V305" s="5"/>
      <c r="W305" s="5"/>
      <c r="X305" s="5"/>
      <c r="Y305" s="5" t="s">
        <v>41</v>
      </c>
    </row>
    <row r="306" spans="1:25" ht="13.8">
      <c r="A306" s="28" t="s">
        <v>1327</v>
      </c>
      <c r="B306" s="5" t="s">
        <v>26</v>
      </c>
      <c r="C306" s="5" t="s">
        <v>27</v>
      </c>
      <c r="D306" s="29">
        <v>174</v>
      </c>
      <c r="E306" s="30" t="s">
        <v>138</v>
      </c>
      <c r="F306" s="5" t="s">
        <v>139</v>
      </c>
      <c r="G306" s="13" t="s">
        <v>258</v>
      </c>
      <c r="H306" s="5">
        <v>3</v>
      </c>
      <c r="I306" s="8">
        <v>45200</v>
      </c>
      <c r="J306" s="8">
        <v>46660</v>
      </c>
      <c r="K306" s="5" t="s">
        <v>29</v>
      </c>
      <c r="L306" s="5" t="s">
        <v>50</v>
      </c>
      <c r="M306" s="60" t="s">
        <v>1328</v>
      </c>
      <c r="N306" s="5" t="s">
        <v>85</v>
      </c>
      <c r="O306" s="5"/>
      <c r="P306" s="5" t="s">
        <v>1329</v>
      </c>
      <c r="Q306" s="12"/>
      <c r="R306" s="5"/>
      <c r="S306" s="5"/>
      <c r="T306" s="31" t="s">
        <v>39</v>
      </c>
      <c r="U306" s="33">
        <v>37148</v>
      </c>
      <c r="V306" s="5"/>
      <c r="W306" s="5"/>
      <c r="X306" s="5"/>
      <c r="Y306" s="5"/>
    </row>
    <row r="307" spans="1:25" ht="13.8">
      <c r="A307" s="28" t="s">
        <v>1330</v>
      </c>
      <c r="B307" s="5" t="s">
        <v>26</v>
      </c>
      <c r="C307" s="5" t="s">
        <v>27</v>
      </c>
      <c r="D307" s="29">
        <v>163</v>
      </c>
      <c r="E307" s="30" t="s">
        <v>90</v>
      </c>
      <c r="F307" s="5"/>
      <c r="G307" s="13" t="s">
        <v>91</v>
      </c>
      <c r="H307" s="5">
        <v>3</v>
      </c>
      <c r="I307" s="8">
        <v>45200</v>
      </c>
      <c r="J307" s="8">
        <v>46660</v>
      </c>
      <c r="K307" s="5" t="s">
        <v>29</v>
      </c>
      <c r="L307" s="5" t="s">
        <v>35</v>
      </c>
      <c r="M307" s="13" t="s">
        <v>1331</v>
      </c>
      <c r="N307" s="5" t="s">
        <v>85</v>
      </c>
      <c r="O307" s="5"/>
      <c r="P307" s="5" t="s">
        <v>1332</v>
      </c>
      <c r="Q307" s="12"/>
      <c r="R307" s="5"/>
      <c r="S307" s="5"/>
      <c r="T307" s="31" t="s">
        <v>39</v>
      </c>
      <c r="U307" s="33">
        <v>36236</v>
      </c>
      <c r="V307" s="5"/>
      <c r="W307" s="5"/>
      <c r="X307" s="5"/>
      <c r="Y307" s="5" t="s">
        <v>94</v>
      </c>
    </row>
    <row r="308" spans="1:25" ht="13.8">
      <c r="A308" s="13" t="s">
        <v>1333</v>
      </c>
      <c r="B308" s="5" t="s">
        <v>26</v>
      </c>
      <c r="C308" s="5" t="s">
        <v>27</v>
      </c>
      <c r="D308" s="29">
        <v>123</v>
      </c>
      <c r="E308" s="30" t="s">
        <v>108</v>
      </c>
      <c r="F308" s="5" t="s">
        <v>250</v>
      </c>
      <c r="G308" s="13" t="s">
        <v>1334</v>
      </c>
      <c r="H308" s="5">
        <v>3</v>
      </c>
      <c r="I308" s="8">
        <v>45200</v>
      </c>
      <c r="J308" s="8">
        <v>46660</v>
      </c>
      <c r="K308" s="5" t="s">
        <v>29</v>
      </c>
      <c r="L308" s="5" t="s">
        <v>35</v>
      </c>
      <c r="M308" s="13" t="s">
        <v>1335</v>
      </c>
      <c r="N308" s="5" t="s">
        <v>85</v>
      </c>
      <c r="O308" s="5"/>
      <c r="P308" s="5" t="s">
        <v>1336</v>
      </c>
      <c r="Q308" s="12"/>
      <c r="R308" s="5"/>
      <c r="S308" s="5"/>
      <c r="T308" s="5" t="s">
        <v>39</v>
      </c>
      <c r="U308" s="33">
        <v>35596</v>
      </c>
      <c r="V308" s="5"/>
      <c r="W308" s="5"/>
      <c r="X308" s="5"/>
      <c r="Y308" s="5" t="s">
        <v>112</v>
      </c>
    </row>
    <row r="309" spans="1:25" ht="13.8">
      <c r="A309" s="5" t="s">
        <v>1337</v>
      </c>
      <c r="B309" s="5" t="s">
        <v>68</v>
      </c>
      <c r="C309" s="5" t="s">
        <v>1338</v>
      </c>
      <c r="D309" s="5">
        <v>151</v>
      </c>
      <c r="E309" s="7" t="s">
        <v>138</v>
      </c>
      <c r="F309" s="5"/>
      <c r="G309" s="5" t="s">
        <v>813</v>
      </c>
      <c r="H309" s="5">
        <v>4</v>
      </c>
      <c r="I309" s="8">
        <v>43739</v>
      </c>
      <c r="J309" s="8">
        <v>46354</v>
      </c>
      <c r="K309" s="5" t="s">
        <v>29</v>
      </c>
      <c r="L309" s="5" t="s">
        <v>50</v>
      </c>
      <c r="M309" s="13" t="s">
        <v>1339</v>
      </c>
      <c r="N309" s="5" t="s">
        <v>701</v>
      </c>
      <c r="O309" s="5" t="s">
        <v>702</v>
      </c>
      <c r="P309" s="35"/>
      <c r="Q309" s="12"/>
      <c r="R309" s="5"/>
      <c r="S309" s="5" t="s">
        <v>1340</v>
      </c>
      <c r="T309" s="5" t="s">
        <v>39</v>
      </c>
      <c r="U309" s="5"/>
      <c r="V309" s="5"/>
      <c r="W309" s="5"/>
      <c r="X309" s="5"/>
      <c r="Y309" s="5"/>
    </row>
    <row r="310" spans="1:25" ht="15">
      <c r="A310" s="5" t="s">
        <v>1341</v>
      </c>
      <c r="B310" s="5" t="s">
        <v>26</v>
      </c>
      <c r="C310" s="5" t="s">
        <v>27</v>
      </c>
      <c r="D310" s="5">
        <v>125</v>
      </c>
      <c r="E310" s="7" t="s">
        <v>104</v>
      </c>
      <c r="F310" s="5" t="s">
        <v>477</v>
      </c>
      <c r="G310" s="5" t="s">
        <v>1342</v>
      </c>
      <c r="H310" s="5">
        <v>2</v>
      </c>
      <c r="I310" s="8">
        <v>45566</v>
      </c>
      <c r="J310" s="9">
        <v>47026</v>
      </c>
      <c r="K310" s="5" t="s">
        <v>29</v>
      </c>
      <c r="L310" s="5" t="s">
        <v>141</v>
      </c>
      <c r="M310" s="66" t="s">
        <v>1343</v>
      </c>
      <c r="N310" s="5" t="s">
        <v>143</v>
      </c>
      <c r="O310" s="5"/>
      <c r="P310" s="44" t="s">
        <v>1344</v>
      </c>
      <c r="Q310" s="12"/>
      <c r="R310" s="5"/>
      <c r="S310" s="5"/>
      <c r="T310" s="5" t="s">
        <v>39</v>
      </c>
      <c r="U310" s="36">
        <v>36141</v>
      </c>
      <c r="V310" s="5"/>
      <c r="W310" s="5"/>
      <c r="X310" s="5"/>
      <c r="Y310" s="5" t="s">
        <v>106</v>
      </c>
    </row>
    <row r="311" spans="1:25" ht="13.8">
      <c r="A311" s="13" t="s">
        <v>1345</v>
      </c>
      <c r="B311" s="5" t="s">
        <v>26</v>
      </c>
      <c r="C311" s="5" t="s">
        <v>27</v>
      </c>
      <c r="D311" s="6" t="s">
        <v>103</v>
      </c>
      <c r="E311" s="7" t="s">
        <v>104</v>
      </c>
      <c r="F311" s="5"/>
      <c r="G311" s="5"/>
      <c r="H311" s="5">
        <v>1</v>
      </c>
      <c r="I311" s="8">
        <v>45931</v>
      </c>
      <c r="J311" s="8">
        <v>47391</v>
      </c>
      <c r="K311" s="5" t="s">
        <v>29</v>
      </c>
      <c r="L311" s="5" t="s">
        <v>30</v>
      </c>
      <c r="M311" s="34" t="s">
        <v>1346</v>
      </c>
      <c r="N311" s="5" t="s">
        <v>45</v>
      </c>
      <c r="O311" s="5"/>
      <c r="P311" s="35"/>
      <c r="Q311" s="12"/>
      <c r="R311" s="5"/>
      <c r="S311" s="5"/>
      <c r="T311" s="5"/>
      <c r="U311" s="5"/>
      <c r="V311" s="5"/>
      <c r="W311" s="5"/>
      <c r="X311" s="5"/>
      <c r="Y311" s="5"/>
    </row>
    <row r="312" spans="1:25" ht="13.8">
      <c r="A312" s="13" t="s">
        <v>1347</v>
      </c>
      <c r="B312" s="5" t="s">
        <v>26</v>
      </c>
      <c r="C312" s="5" t="s">
        <v>27</v>
      </c>
      <c r="D312" s="6" t="s">
        <v>409</v>
      </c>
      <c r="E312" s="7" t="s">
        <v>203</v>
      </c>
      <c r="F312" s="5"/>
      <c r="G312" s="5"/>
      <c r="H312" s="5">
        <v>1</v>
      </c>
      <c r="I312" s="8">
        <v>45931</v>
      </c>
      <c r="J312" s="8">
        <v>47391</v>
      </c>
      <c r="K312" s="5" t="s">
        <v>29</v>
      </c>
      <c r="L312" s="5" t="s">
        <v>30</v>
      </c>
      <c r="M312" s="34" t="s">
        <v>1348</v>
      </c>
      <c r="N312" s="5" t="s">
        <v>45</v>
      </c>
      <c r="O312" s="5"/>
      <c r="P312" s="35"/>
      <c r="Q312" s="12"/>
      <c r="R312" s="5"/>
      <c r="S312" s="5"/>
      <c r="T312" s="5"/>
      <c r="U312" s="5"/>
      <c r="V312" s="5"/>
      <c r="W312" s="5"/>
      <c r="X312" s="5"/>
      <c r="Y312" s="5"/>
    </row>
    <row r="313" spans="1:25" ht="15">
      <c r="A313" s="5" t="s">
        <v>1349</v>
      </c>
      <c r="B313" s="5" t="s">
        <v>26</v>
      </c>
      <c r="C313" s="5" t="s">
        <v>27</v>
      </c>
      <c r="D313" s="5">
        <v>121</v>
      </c>
      <c r="E313" s="7" t="s">
        <v>77</v>
      </c>
      <c r="F313" s="5"/>
      <c r="G313" s="5" t="s">
        <v>1350</v>
      </c>
      <c r="H313" s="5">
        <v>2</v>
      </c>
      <c r="I313" s="8">
        <v>45566</v>
      </c>
      <c r="J313" s="9">
        <v>47026</v>
      </c>
      <c r="K313" s="5" t="s">
        <v>29</v>
      </c>
      <c r="L313" s="5" t="s">
        <v>141</v>
      </c>
      <c r="M313" s="66" t="s">
        <v>1351</v>
      </c>
      <c r="N313" s="5" t="s">
        <v>143</v>
      </c>
      <c r="O313" s="5"/>
      <c r="P313" s="44" t="s">
        <v>1352</v>
      </c>
      <c r="Q313" s="12"/>
      <c r="R313" s="5"/>
      <c r="S313" s="5"/>
      <c r="T313" s="5" t="s">
        <v>39</v>
      </c>
      <c r="U313" s="8">
        <v>36006</v>
      </c>
      <c r="V313" s="5"/>
      <c r="W313" s="5"/>
      <c r="X313" s="5"/>
      <c r="Y313" s="5" t="s">
        <v>94</v>
      </c>
    </row>
    <row r="314" spans="1:25" ht="15">
      <c r="A314" s="5" t="s">
        <v>1353</v>
      </c>
      <c r="B314" s="5" t="s">
        <v>26</v>
      </c>
      <c r="C314" s="5" t="s">
        <v>27</v>
      </c>
      <c r="D314" s="5">
        <v>125</v>
      </c>
      <c r="E314" s="7" t="s">
        <v>104</v>
      </c>
      <c r="F314" s="5" t="s">
        <v>477</v>
      </c>
      <c r="G314" s="5" t="s">
        <v>1354</v>
      </c>
      <c r="H314" s="5">
        <v>2</v>
      </c>
      <c r="I314" s="8">
        <v>45566</v>
      </c>
      <c r="J314" s="9">
        <v>47026</v>
      </c>
      <c r="K314" s="5" t="s">
        <v>29</v>
      </c>
      <c r="L314" s="5" t="s">
        <v>141</v>
      </c>
      <c r="M314" s="5" t="s">
        <v>1355</v>
      </c>
      <c r="N314" s="5" t="s">
        <v>143</v>
      </c>
      <c r="O314" s="5"/>
      <c r="P314" s="44" t="s">
        <v>1356</v>
      </c>
      <c r="Q314" s="12"/>
      <c r="R314" s="5"/>
      <c r="S314" s="5"/>
      <c r="T314" s="5" t="s">
        <v>39</v>
      </c>
      <c r="U314" s="8">
        <v>30918</v>
      </c>
      <c r="V314" s="5"/>
      <c r="W314" s="5"/>
      <c r="X314" s="5"/>
      <c r="Y314" s="5" t="s">
        <v>106</v>
      </c>
    </row>
    <row r="315" spans="1:25" ht="13.8">
      <c r="A315" s="13" t="s">
        <v>1357</v>
      </c>
      <c r="B315" s="5" t="s">
        <v>26</v>
      </c>
      <c r="C315" s="5" t="s">
        <v>27</v>
      </c>
      <c r="D315" s="5">
        <v>126</v>
      </c>
      <c r="E315" s="7" t="s">
        <v>80</v>
      </c>
      <c r="F315" s="5" t="s">
        <v>327</v>
      </c>
      <c r="G315" s="5" t="s">
        <v>676</v>
      </c>
      <c r="H315" s="5">
        <v>3</v>
      </c>
      <c r="I315" s="8">
        <v>45047</v>
      </c>
      <c r="J315" s="8">
        <v>46507</v>
      </c>
      <c r="K315" s="5" t="s">
        <v>29</v>
      </c>
      <c r="L315" s="5" t="s">
        <v>35</v>
      </c>
      <c r="M315" s="60" t="s">
        <v>1358</v>
      </c>
      <c r="N315" s="12" t="s">
        <v>37</v>
      </c>
      <c r="O315" s="5"/>
      <c r="P315" s="72" t="s">
        <v>1359</v>
      </c>
      <c r="Q315" s="12"/>
      <c r="R315" s="5"/>
      <c r="S315" s="5"/>
      <c r="T315" s="5" t="s">
        <v>39</v>
      </c>
      <c r="U315" s="16">
        <v>36615</v>
      </c>
      <c r="V315" s="5">
        <f>380968955613</f>
        <v>380968955613</v>
      </c>
      <c r="W315" s="5" t="s">
        <v>416</v>
      </c>
      <c r="X315" s="6">
        <v>2022</v>
      </c>
      <c r="Y315" s="5" t="s">
        <v>88</v>
      </c>
    </row>
    <row r="316" spans="1:25" ht="13.8">
      <c r="A316" s="5" t="s">
        <v>1360</v>
      </c>
      <c r="B316" s="5" t="s">
        <v>47</v>
      </c>
      <c r="C316" s="5" t="s">
        <v>27</v>
      </c>
      <c r="D316" s="5">
        <v>171</v>
      </c>
      <c r="E316" s="7" t="s">
        <v>115</v>
      </c>
      <c r="F316" s="5"/>
      <c r="G316" s="5" t="s">
        <v>718</v>
      </c>
      <c r="H316" s="5"/>
      <c r="I316" s="48">
        <v>44470</v>
      </c>
      <c r="J316" s="48">
        <v>45930</v>
      </c>
      <c r="K316" s="5" t="s">
        <v>29</v>
      </c>
      <c r="L316" s="5" t="s">
        <v>30</v>
      </c>
      <c r="M316" s="49" t="s">
        <v>1361</v>
      </c>
      <c r="N316" s="12" t="s">
        <v>270</v>
      </c>
      <c r="O316" s="5" t="s">
        <v>271</v>
      </c>
      <c r="P316" s="53" t="s">
        <v>1362</v>
      </c>
      <c r="Q316" s="12" t="s">
        <v>1141</v>
      </c>
      <c r="R316" s="5" t="s">
        <v>1142</v>
      </c>
      <c r="S316" s="5"/>
      <c r="T316" s="5" t="s">
        <v>39</v>
      </c>
      <c r="U316" s="48">
        <v>35545</v>
      </c>
      <c r="V316" s="5" t="s">
        <v>1363</v>
      </c>
      <c r="W316" s="5" t="s">
        <v>40</v>
      </c>
      <c r="X316" s="5">
        <v>2020</v>
      </c>
      <c r="Y316" s="5"/>
    </row>
    <row r="317" spans="1:25" ht="15">
      <c r="A317" s="5" t="s">
        <v>1364</v>
      </c>
      <c r="B317" s="5" t="s">
        <v>26</v>
      </c>
      <c r="C317" s="5" t="s">
        <v>27</v>
      </c>
      <c r="D317" s="5">
        <v>122</v>
      </c>
      <c r="E317" s="7" t="s">
        <v>322</v>
      </c>
      <c r="F317" s="5"/>
      <c r="G317" s="5" t="s">
        <v>1365</v>
      </c>
      <c r="H317" s="5">
        <v>2</v>
      </c>
      <c r="I317" s="8">
        <v>45566</v>
      </c>
      <c r="J317" s="9">
        <v>47026</v>
      </c>
      <c r="K317" s="5" t="s">
        <v>29</v>
      </c>
      <c r="L317" s="5" t="s">
        <v>141</v>
      </c>
      <c r="M317" s="88" t="s">
        <v>1366</v>
      </c>
      <c r="N317" s="5" t="s">
        <v>143</v>
      </c>
      <c r="O317" s="5"/>
      <c r="P317" s="44" t="s">
        <v>1367</v>
      </c>
      <c r="Q317" s="12"/>
      <c r="R317" s="5"/>
      <c r="S317" s="5"/>
      <c r="T317" s="5" t="s">
        <v>39</v>
      </c>
      <c r="U317" s="36">
        <v>36482</v>
      </c>
      <c r="V317" s="5"/>
      <c r="W317" s="5"/>
      <c r="X317" s="5"/>
      <c r="Y317" s="5"/>
    </row>
    <row r="318" spans="1:25" ht="15">
      <c r="A318" s="5" t="s">
        <v>1368</v>
      </c>
      <c r="B318" s="5" t="s">
        <v>26</v>
      </c>
      <c r="C318" s="5" t="s">
        <v>27</v>
      </c>
      <c r="D318" s="5">
        <v>121</v>
      </c>
      <c r="E318" s="7" t="s">
        <v>77</v>
      </c>
      <c r="F318" s="5"/>
      <c r="G318" s="5" t="s">
        <v>1369</v>
      </c>
      <c r="H318" s="5">
        <v>2</v>
      </c>
      <c r="I318" s="8">
        <v>45566</v>
      </c>
      <c r="J318" s="9">
        <v>47026</v>
      </c>
      <c r="K318" s="5" t="s">
        <v>29</v>
      </c>
      <c r="L318" s="5" t="s">
        <v>141</v>
      </c>
      <c r="M318" s="5" t="s">
        <v>1370</v>
      </c>
      <c r="N318" s="5" t="s">
        <v>143</v>
      </c>
      <c r="O318" s="5"/>
      <c r="P318" s="44" t="s">
        <v>1371</v>
      </c>
      <c r="Q318" s="12"/>
      <c r="R318" s="5"/>
      <c r="S318" s="5"/>
      <c r="T318" s="5" t="s">
        <v>39</v>
      </c>
      <c r="U318" s="36">
        <v>36504</v>
      </c>
      <c r="V318" s="5"/>
      <c r="W318" s="5"/>
      <c r="X318" s="5"/>
      <c r="Y318" s="5" t="s">
        <v>94</v>
      </c>
    </row>
    <row r="319" spans="1:25" ht="15">
      <c r="A319" s="5" t="s">
        <v>1372</v>
      </c>
      <c r="B319" s="5" t="s">
        <v>26</v>
      </c>
      <c r="C319" s="5" t="s">
        <v>27</v>
      </c>
      <c r="D319" s="5">
        <v>122</v>
      </c>
      <c r="E319" s="7" t="s">
        <v>322</v>
      </c>
      <c r="F319" s="5"/>
      <c r="G319" s="5" t="s">
        <v>1373</v>
      </c>
      <c r="H319" s="5">
        <v>2</v>
      </c>
      <c r="I319" s="8">
        <v>45566</v>
      </c>
      <c r="J319" s="9">
        <v>47026</v>
      </c>
      <c r="K319" s="5" t="s">
        <v>29</v>
      </c>
      <c r="L319" s="5" t="s">
        <v>141</v>
      </c>
      <c r="M319" s="5" t="s">
        <v>1374</v>
      </c>
      <c r="N319" s="5" t="s">
        <v>143</v>
      </c>
      <c r="O319" s="5"/>
      <c r="P319" s="44" t="s">
        <v>1375</v>
      </c>
      <c r="Q319" s="12"/>
      <c r="R319" s="5"/>
      <c r="S319" s="5"/>
      <c r="T319" s="5" t="s">
        <v>39</v>
      </c>
      <c r="U319" s="8">
        <v>30845</v>
      </c>
      <c r="V319" s="5"/>
      <c r="W319" s="5"/>
      <c r="X319" s="5"/>
      <c r="Y319" s="5"/>
    </row>
    <row r="320" spans="1:25" ht="13.8">
      <c r="A320" s="13" t="s">
        <v>1376</v>
      </c>
      <c r="B320" s="5" t="s">
        <v>26</v>
      </c>
      <c r="C320" s="5" t="s">
        <v>27</v>
      </c>
      <c r="D320" s="5">
        <v>122</v>
      </c>
      <c r="E320" s="7" t="s">
        <v>33</v>
      </c>
      <c r="F320" s="5"/>
      <c r="G320" s="5" t="s">
        <v>1377</v>
      </c>
      <c r="H320" s="5">
        <v>3</v>
      </c>
      <c r="I320" s="8">
        <v>45047</v>
      </c>
      <c r="J320" s="8">
        <v>46507</v>
      </c>
      <c r="K320" s="5" t="s">
        <v>29</v>
      </c>
      <c r="L320" s="5" t="s">
        <v>35</v>
      </c>
      <c r="M320" s="53" t="s">
        <v>1378</v>
      </c>
      <c r="N320" s="12" t="s">
        <v>37</v>
      </c>
      <c r="O320" s="5"/>
      <c r="P320" s="72" t="s">
        <v>1379</v>
      </c>
      <c r="Q320" s="12"/>
      <c r="R320" s="5"/>
      <c r="S320" s="5"/>
      <c r="T320" s="5" t="s">
        <v>39</v>
      </c>
      <c r="U320" s="16">
        <v>36586</v>
      </c>
      <c r="V320" s="5">
        <f>380953643243</f>
        <v>380953643243</v>
      </c>
      <c r="W320" s="5" t="s">
        <v>40</v>
      </c>
      <c r="X320" s="6">
        <v>2022</v>
      </c>
      <c r="Y320" s="5" t="s">
        <v>41</v>
      </c>
    </row>
    <row r="321" spans="1:25" ht="13.8">
      <c r="A321" s="13" t="s">
        <v>1380</v>
      </c>
      <c r="B321" s="5" t="s">
        <v>26</v>
      </c>
      <c r="C321" s="5" t="s">
        <v>27</v>
      </c>
      <c r="D321" s="29">
        <v>121</v>
      </c>
      <c r="E321" s="30" t="s">
        <v>77</v>
      </c>
      <c r="F321" s="5"/>
      <c r="G321" s="13" t="s">
        <v>692</v>
      </c>
      <c r="H321" s="5">
        <v>3</v>
      </c>
      <c r="I321" s="8">
        <v>45200</v>
      </c>
      <c r="J321" s="8">
        <v>46660</v>
      </c>
      <c r="K321" s="5" t="s">
        <v>29</v>
      </c>
      <c r="L321" s="5" t="s">
        <v>35</v>
      </c>
      <c r="M321" s="60" t="s">
        <v>1381</v>
      </c>
      <c r="N321" s="5" t="s">
        <v>85</v>
      </c>
      <c r="O321" s="5"/>
      <c r="P321" s="5" t="s">
        <v>1382</v>
      </c>
      <c r="Q321" s="12"/>
      <c r="R321" s="5"/>
      <c r="S321" s="5"/>
      <c r="T321" s="31" t="s">
        <v>39</v>
      </c>
      <c r="U321" s="33">
        <v>35571</v>
      </c>
      <c r="V321" s="5"/>
      <c r="W321" s="5"/>
      <c r="X321" s="5"/>
      <c r="Y321" s="5" t="s">
        <v>94</v>
      </c>
    </row>
    <row r="322" spans="1:25" ht="13.8">
      <c r="A322" s="13" t="s">
        <v>1383</v>
      </c>
      <c r="B322" s="5" t="s">
        <v>26</v>
      </c>
      <c r="C322" s="5" t="s">
        <v>27</v>
      </c>
      <c r="D322" s="6" t="s">
        <v>554</v>
      </c>
      <c r="E322" s="7"/>
      <c r="F322" s="5"/>
      <c r="G322" s="5"/>
      <c r="H322" s="5">
        <v>1</v>
      </c>
      <c r="I322" s="8">
        <v>45931</v>
      </c>
      <c r="J322" s="8">
        <v>47391</v>
      </c>
      <c r="K322" s="5" t="s">
        <v>29</v>
      </c>
      <c r="L322" s="5" t="s">
        <v>30</v>
      </c>
      <c r="M322" s="34" t="s">
        <v>1384</v>
      </c>
      <c r="N322" s="5" t="s">
        <v>45</v>
      </c>
      <c r="O322" s="5"/>
      <c r="P322" s="53"/>
      <c r="Q322" s="12"/>
      <c r="R322" s="5"/>
      <c r="S322" s="5" t="s">
        <v>1081</v>
      </c>
      <c r="T322" s="5" t="s">
        <v>39</v>
      </c>
      <c r="U322" s="8">
        <v>28434</v>
      </c>
      <c r="V322" s="5"/>
      <c r="W322" s="5"/>
      <c r="X322" s="5"/>
      <c r="Y322" s="5"/>
    </row>
    <row r="323" spans="1:25" ht="15">
      <c r="A323" s="5" t="s">
        <v>1385</v>
      </c>
      <c r="B323" s="5" t="s">
        <v>26</v>
      </c>
      <c r="C323" s="5" t="s">
        <v>27</v>
      </c>
      <c r="D323" s="5">
        <v>125</v>
      </c>
      <c r="E323" s="7" t="s">
        <v>104</v>
      </c>
      <c r="F323" s="5" t="s">
        <v>477</v>
      </c>
      <c r="G323" s="5" t="s">
        <v>1386</v>
      </c>
      <c r="H323" s="5">
        <v>2</v>
      </c>
      <c r="I323" s="8">
        <v>45566</v>
      </c>
      <c r="J323" s="9">
        <v>47026</v>
      </c>
      <c r="K323" s="5" t="s">
        <v>29</v>
      </c>
      <c r="L323" s="5" t="s">
        <v>141</v>
      </c>
      <c r="M323" s="66" t="s">
        <v>1387</v>
      </c>
      <c r="N323" s="5" t="s">
        <v>143</v>
      </c>
      <c r="O323" s="5"/>
      <c r="P323" s="44" t="s">
        <v>1388</v>
      </c>
      <c r="Q323" s="12"/>
      <c r="R323" s="5"/>
      <c r="S323" s="5"/>
      <c r="T323" s="5" t="s">
        <v>39</v>
      </c>
      <c r="U323" s="8">
        <v>36701</v>
      </c>
      <c r="V323" s="5"/>
      <c r="W323" s="5"/>
      <c r="X323" s="5"/>
      <c r="Y323" s="5" t="s">
        <v>106</v>
      </c>
    </row>
    <row r="324" spans="1:25" ht="15">
      <c r="A324" s="5" t="s">
        <v>1389</v>
      </c>
      <c r="B324" s="5" t="s">
        <v>26</v>
      </c>
      <c r="C324" s="5" t="s">
        <v>27</v>
      </c>
      <c r="D324" s="5">
        <v>123</v>
      </c>
      <c r="E324" s="7" t="s">
        <v>80</v>
      </c>
      <c r="F324" s="5" t="s">
        <v>81</v>
      </c>
      <c r="G324" s="44" t="s">
        <v>1390</v>
      </c>
      <c r="H324" s="5">
        <v>2</v>
      </c>
      <c r="I324" s="8">
        <v>45566</v>
      </c>
      <c r="J324" s="9">
        <v>47026</v>
      </c>
      <c r="K324" s="5" t="s">
        <v>29</v>
      </c>
      <c r="L324" s="5" t="s">
        <v>141</v>
      </c>
      <c r="M324" s="5" t="s">
        <v>1391</v>
      </c>
      <c r="N324" s="5" t="s">
        <v>143</v>
      </c>
      <c r="O324" s="5"/>
      <c r="P324" s="44" t="s">
        <v>1392</v>
      </c>
      <c r="Q324" s="12"/>
      <c r="R324" s="5"/>
      <c r="S324" s="5"/>
      <c r="T324" s="5" t="s">
        <v>39</v>
      </c>
      <c r="U324" s="8">
        <v>35085</v>
      </c>
      <c r="V324" s="5"/>
      <c r="W324" s="5"/>
      <c r="X324" s="5"/>
      <c r="Y324" s="5" t="s">
        <v>88</v>
      </c>
    </row>
    <row r="325" spans="1:25" ht="13.8">
      <c r="A325" s="5" t="s">
        <v>1393</v>
      </c>
      <c r="B325" s="5" t="s">
        <v>47</v>
      </c>
      <c r="C325" s="5" t="s">
        <v>27</v>
      </c>
      <c r="D325" s="5">
        <v>121</v>
      </c>
      <c r="E325" s="7" t="s">
        <v>77</v>
      </c>
      <c r="F325" s="5"/>
      <c r="G325" s="5" t="s">
        <v>871</v>
      </c>
      <c r="H325" s="5"/>
      <c r="I325" s="48">
        <v>44470</v>
      </c>
      <c r="J325" s="48">
        <v>45923</v>
      </c>
      <c r="K325" s="5" t="s">
        <v>29</v>
      </c>
      <c r="L325" s="5" t="s">
        <v>418</v>
      </c>
      <c r="M325" s="49" t="s">
        <v>1394</v>
      </c>
      <c r="N325" s="12" t="s">
        <v>270</v>
      </c>
      <c r="O325" s="5" t="s">
        <v>271</v>
      </c>
      <c r="P325" s="53" t="s">
        <v>1395</v>
      </c>
      <c r="Q325" s="12" t="s">
        <v>491</v>
      </c>
      <c r="R325" s="5" t="s">
        <v>1396</v>
      </c>
      <c r="S325" s="5"/>
      <c r="T325" s="5" t="s">
        <v>39</v>
      </c>
      <c r="U325" s="48">
        <v>35942</v>
      </c>
      <c r="V325" s="5" t="s">
        <v>1397</v>
      </c>
      <c r="W325" s="5" t="s">
        <v>40</v>
      </c>
      <c r="X325" s="5">
        <v>2021</v>
      </c>
      <c r="Y325" s="5"/>
    </row>
    <row r="326" spans="1:25" ht="15">
      <c r="A326" s="5" t="s">
        <v>1398</v>
      </c>
      <c r="B326" s="5" t="s">
        <v>26</v>
      </c>
      <c r="C326" s="5" t="s">
        <v>27</v>
      </c>
      <c r="D326" s="5">
        <v>126</v>
      </c>
      <c r="E326" s="7" t="s">
        <v>80</v>
      </c>
      <c r="F326" s="5" t="s">
        <v>81</v>
      </c>
      <c r="G326" s="5" t="s">
        <v>1399</v>
      </c>
      <c r="H326" s="5">
        <v>2</v>
      </c>
      <c r="I326" s="8">
        <v>45566</v>
      </c>
      <c r="J326" s="9">
        <v>47026</v>
      </c>
      <c r="K326" s="5" t="s">
        <v>29</v>
      </c>
      <c r="L326" s="5" t="s">
        <v>141</v>
      </c>
      <c r="M326" s="5" t="s">
        <v>1400</v>
      </c>
      <c r="N326" s="5" t="s">
        <v>143</v>
      </c>
      <c r="O326" s="5"/>
      <c r="P326" s="44" t="s">
        <v>1401</v>
      </c>
      <c r="Q326" s="12"/>
      <c r="R326" s="5"/>
      <c r="S326" s="5"/>
      <c r="T326" s="5" t="s">
        <v>39</v>
      </c>
      <c r="U326" s="8">
        <v>37025</v>
      </c>
      <c r="V326" s="5"/>
      <c r="W326" s="5"/>
      <c r="X326" s="5"/>
      <c r="Y326" s="5" t="s">
        <v>88</v>
      </c>
    </row>
    <row r="327" spans="1:25" ht="13.8">
      <c r="A327" s="28" t="s">
        <v>1402</v>
      </c>
      <c r="B327" s="5" t="s">
        <v>26</v>
      </c>
      <c r="C327" s="5" t="s">
        <v>27</v>
      </c>
      <c r="D327" s="29">
        <v>124</v>
      </c>
      <c r="E327" s="30" t="s">
        <v>203</v>
      </c>
      <c r="F327" s="5"/>
      <c r="G327" s="13" t="s">
        <v>1403</v>
      </c>
      <c r="H327" s="5">
        <v>3</v>
      </c>
      <c r="I327" s="8">
        <v>45200</v>
      </c>
      <c r="J327" s="8">
        <v>46660</v>
      </c>
      <c r="K327" s="5" t="s">
        <v>29</v>
      </c>
      <c r="L327" s="5" t="s">
        <v>35</v>
      </c>
      <c r="M327" s="13" t="s">
        <v>1404</v>
      </c>
      <c r="N327" s="5" t="s">
        <v>85</v>
      </c>
      <c r="O327" s="5"/>
      <c r="P327" s="5" t="s">
        <v>1405</v>
      </c>
      <c r="Q327" s="12"/>
      <c r="R327" s="5"/>
      <c r="S327" s="5"/>
      <c r="T327" s="31" t="s">
        <v>39</v>
      </c>
      <c r="U327" s="33">
        <v>30826</v>
      </c>
      <c r="V327" s="5"/>
      <c r="W327" s="5"/>
      <c r="X327" s="5"/>
      <c r="Y327" s="5" t="s">
        <v>41</v>
      </c>
    </row>
    <row r="328" spans="1:25" ht="13.8">
      <c r="A328" s="13" t="s">
        <v>1406</v>
      </c>
      <c r="B328" s="5" t="s">
        <v>26</v>
      </c>
      <c r="C328" s="5" t="s">
        <v>27</v>
      </c>
      <c r="D328" s="5">
        <v>105</v>
      </c>
      <c r="E328" s="7" t="s">
        <v>216</v>
      </c>
      <c r="F328" s="5"/>
      <c r="G328" s="5" t="s">
        <v>682</v>
      </c>
      <c r="H328" s="5">
        <v>3</v>
      </c>
      <c r="I328" s="8">
        <v>45047</v>
      </c>
      <c r="J328" s="8">
        <v>46507</v>
      </c>
      <c r="K328" s="5" t="s">
        <v>29</v>
      </c>
      <c r="L328" s="5" t="s">
        <v>35</v>
      </c>
      <c r="M328" s="53" t="s">
        <v>1407</v>
      </c>
      <c r="N328" s="12" t="s">
        <v>37</v>
      </c>
      <c r="O328" s="5"/>
      <c r="P328" s="72" t="s">
        <v>1408</v>
      </c>
      <c r="Q328" s="12"/>
      <c r="R328" s="37"/>
      <c r="S328" s="37" t="s">
        <v>685</v>
      </c>
      <c r="T328" s="5" t="s">
        <v>39</v>
      </c>
      <c r="U328" s="16">
        <v>36547</v>
      </c>
      <c r="V328" s="5">
        <f>380637632682</f>
        <v>380637632682</v>
      </c>
      <c r="W328" s="5" t="s">
        <v>40</v>
      </c>
      <c r="X328" s="6">
        <v>2022</v>
      </c>
      <c r="Y328" s="5" t="s">
        <v>220</v>
      </c>
    </row>
    <row r="329" spans="1:25" ht="13.8">
      <c r="A329" s="13" t="s">
        <v>1409</v>
      </c>
      <c r="B329" s="5" t="s">
        <v>26</v>
      </c>
      <c r="C329" s="5" t="s">
        <v>27</v>
      </c>
      <c r="D329" s="5">
        <v>122</v>
      </c>
      <c r="E329" s="30" t="s">
        <v>124</v>
      </c>
      <c r="F329" s="5" t="s">
        <v>1410</v>
      </c>
      <c r="G329" s="5" t="s">
        <v>956</v>
      </c>
      <c r="H329" s="5">
        <v>3</v>
      </c>
      <c r="I329" s="8">
        <v>45047</v>
      </c>
      <c r="J329" s="8">
        <v>46507</v>
      </c>
      <c r="K329" s="5" t="s">
        <v>29</v>
      </c>
      <c r="L329" s="5" t="s">
        <v>35</v>
      </c>
      <c r="M329" s="53" t="s">
        <v>1411</v>
      </c>
      <c r="N329" s="12" t="s">
        <v>37</v>
      </c>
      <c r="O329" s="5"/>
      <c r="P329" s="72" t="s">
        <v>1412</v>
      </c>
      <c r="Q329" s="12"/>
      <c r="R329" s="5"/>
      <c r="S329" s="5"/>
      <c r="T329" s="5" t="s">
        <v>57</v>
      </c>
      <c r="U329" s="16">
        <v>35768</v>
      </c>
      <c r="V329" s="5">
        <f>48571287029</f>
        <v>48571287029</v>
      </c>
      <c r="W329" s="5" t="s">
        <v>40</v>
      </c>
      <c r="X329" s="6">
        <v>2020</v>
      </c>
      <c r="Y329" s="5" t="s">
        <v>266</v>
      </c>
    </row>
    <row r="330" spans="1:25" ht="13.8">
      <c r="A330" s="28" t="s">
        <v>1413</v>
      </c>
      <c r="B330" s="5" t="s">
        <v>26</v>
      </c>
      <c r="C330" s="5" t="s">
        <v>27</v>
      </c>
      <c r="D330" s="29">
        <v>175</v>
      </c>
      <c r="E330" s="30" t="s">
        <v>146</v>
      </c>
      <c r="F330" s="5" t="s">
        <v>717</v>
      </c>
      <c r="G330" s="13" t="s">
        <v>808</v>
      </c>
      <c r="H330" s="5">
        <v>3</v>
      </c>
      <c r="I330" s="8">
        <v>45200</v>
      </c>
      <c r="J330" s="8">
        <v>46660</v>
      </c>
      <c r="K330" s="5" t="s">
        <v>29</v>
      </c>
      <c r="L330" s="5" t="s">
        <v>35</v>
      </c>
      <c r="M330" s="60" t="s">
        <v>1414</v>
      </c>
      <c r="N330" s="5" t="s">
        <v>85</v>
      </c>
      <c r="O330" s="5"/>
      <c r="P330" s="5" t="s">
        <v>1415</v>
      </c>
      <c r="Q330" s="12"/>
      <c r="R330" s="5"/>
      <c r="S330" s="5"/>
      <c r="T330" s="31" t="s">
        <v>39</v>
      </c>
      <c r="U330" s="33">
        <v>25050</v>
      </c>
      <c r="V330" s="5"/>
      <c r="W330" s="5"/>
      <c r="X330" s="5"/>
      <c r="Y330" s="5"/>
    </row>
    <row r="331" spans="1:25" ht="13.8">
      <c r="A331" s="13" t="s">
        <v>1416</v>
      </c>
      <c r="B331" s="5" t="s">
        <v>26</v>
      </c>
      <c r="C331" s="5" t="s">
        <v>27</v>
      </c>
      <c r="D331" s="5">
        <v>122</v>
      </c>
      <c r="E331" s="30" t="s">
        <v>124</v>
      </c>
      <c r="F331" s="5" t="s">
        <v>1410</v>
      </c>
      <c r="G331" s="5" t="s">
        <v>956</v>
      </c>
      <c r="H331" s="5">
        <v>3</v>
      </c>
      <c r="I331" s="8">
        <v>45047</v>
      </c>
      <c r="J331" s="8">
        <v>46507</v>
      </c>
      <c r="K331" s="5" t="s">
        <v>29</v>
      </c>
      <c r="L331" s="5" t="s">
        <v>35</v>
      </c>
      <c r="M331" s="53" t="s">
        <v>1417</v>
      </c>
      <c r="N331" s="12" t="s">
        <v>37</v>
      </c>
      <c r="O331" s="5"/>
      <c r="P331" s="72" t="s">
        <v>1418</v>
      </c>
      <c r="Q331" s="12"/>
      <c r="R331" s="5"/>
      <c r="S331" s="5"/>
      <c r="T331" s="5" t="s">
        <v>57</v>
      </c>
      <c r="U331" s="16">
        <v>35859</v>
      </c>
      <c r="V331" s="5">
        <f>380671921240</f>
        <v>380671921240</v>
      </c>
      <c r="W331" s="5" t="s">
        <v>40</v>
      </c>
      <c r="X331" s="6">
        <v>2020</v>
      </c>
      <c r="Y331" s="5" t="s">
        <v>266</v>
      </c>
    </row>
    <row r="332" spans="1:25" ht="27.6">
      <c r="A332" s="13" t="s">
        <v>1419</v>
      </c>
      <c r="B332" s="5" t="s">
        <v>47</v>
      </c>
      <c r="C332" s="5" t="s">
        <v>27</v>
      </c>
      <c r="D332" s="5">
        <v>51</v>
      </c>
      <c r="E332" s="7" t="s">
        <v>192</v>
      </c>
      <c r="F332" s="5"/>
      <c r="G332" s="5" t="s">
        <v>1420</v>
      </c>
      <c r="H332" s="5"/>
      <c r="I332" s="8">
        <v>45047</v>
      </c>
      <c r="J332" s="8">
        <v>45716</v>
      </c>
      <c r="K332" s="5" t="s">
        <v>29</v>
      </c>
      <c r="L332" s="5" t="s">
        <v>35</v>
      </c>
      <c r="M332" s="60" t="s">
        <v>1421</v>
      </c>
      <c r="N332" s="12" t="s">
        <v>37</v>
      </c>
      <c r="O332" s="5"/>
      <c r="P332" s="72" t="s">
        <v>1422</v>
      </c>
      <c r="Q332" s="12" t="s">
        <v>1423</v>
      </c>
      <c r="R332" s="5"/>
      <c r="S332" s="5"/>
      <c r="T332" s="5" t="s">
        <v>39</v>
      </c>
      <c r="U332" s="16">
        <v>33100</v>
      </c>
      <c r="V332" s="5">
        <f>380936897497</f>
        <v>380936897497</v>
      </c>
      <c r="W332" s="5" t="s">
        <v>1424</v>
      </c>
      <c r="X332" s="6">
        <v>2012</v>
      </c>
      <c r="Y332" s="5"/>
    </row>
    <row r="333" spans="1:25" ht="41.4">
      <c r="A333" s="5" t="s">
        <v>1425</v>
      </c>
      <c r="B333" s="5" t="s">
        <v>68</v>
      </c>
      <c r="C333" s="5" t="s">
        <v>1247</v>
      </c>
      <c r="D333" s="5">
        <v>172</v>
      </c>
      <c r="E333" s="7" t="s">
        <v>60</v>
      </c>
      <c r="F333" s="5" t="s">
        <v>61</v>
      </c>
      <c r="G333" s="13" t="s">
        <v>1426</v>
      </c>
      <c r="H333" s="83">
        <v>2</v>
      </c>
      <c r="I333" s="8">
        <v>44835</v>
      </c>
      <c r="J333" s="8">
        <v>46295</v>
      </c>
      <c r="K333" s="5" t="s">
        <v>29</v>
      </c>
      <c r="L333" s="5" t="s">
        <v>35</v>
      </c>
      <c r="M333" s="53" t="s">
        <v>1427</v>
      </c>
      <c r="N333" s="21" t="s">
        <v>52</v>
      </c>
      <c r="O333" s="5"/>
      <c r="P333" s="35" t="s">
        <v>1428</v>
      </c>
      <c r="Q333" s="12" t="s">
        <v>1429</v>
      </c>
      <c r="R333" s="5"/>
      <c r="S333" s="5"/>
      <c r="T333" s="5" t="s">
        <v>39</v>
      </c>
      <c r="U333" s="16">
        <v>34746</v>
      </c>
      <c r="V333" s="5" t="s">
        <v>1430</v>
      </c>
      <c r="W333" s="5" t="s">
        <v>581</v>
      </c>
      <c r="X333" s="6">
        <v>2018</v>
      </c>
      <c r="Y333" s="5"/>
    </row>
    <row r="334" spans="1:25" ht="13.8">
      <c r="A334" s="13" t="s">
        <v>1431</v>
      </c>
      <c r="B334" s="5" t="s">
        <v>26</v>
      </c>
      <c r="C334" s="5" t="s">
        <v>27</v>
      </c>
      <c r="D334" s="5">
        <v>175</v>
      </c>
      <c r="E334" s="7" t="s">
        <v>146</v>
      </c>
      <c r="F334" s="5" t="s">
        <v>378</v>
      </c>
      <c r="G334" s="5" t="s">
        <v>147</v>
      </c>
      <c r="H334" s="5">
        <v>3</v>
      </c>
      <c r="I334" s="8">
        <v>45047</v>
      </c>
      <c r="J334" s="8">
        <v>46507</v>
      </c>
      <c r="K334" s="5" t="s">
        <v>29</v>
      </c>
      <c r="L334" s="5" t="s">
        <v>35</v>
      </c>
      <c r="M334" s="60" t="s">
        <v>1432</v>
      </c>
      <c r="N334" s="12" t="s">
        <v>37</v>
      </c>
      <c r="O334" s="5"/>
      <c r="P334" s="72" t="s">
        <v>1433</v>
      </c>
      <c r="Q334" s="12"/>
      <c r="R334" s="5"/>
      <c r="S334" s="5"/>
      <c r="T334" s="5" t="s">
        <v>39</v>
      </c>
      <c r="U334" s="16">
        <v>26066</v>
      </c>
      <c r="V334" s="5">
        <f>380963752789</f>
        <v>380963752789</v>
      </c>
      <c r="W334" s="5" t="s">
        <v>626</v>
      </c>
      <c r="X334" s="6">
        <v>1996</v>
      </c>
      <c r="Y334" s="5"/>
    </row>
    <row r="335" spans="1:25" ht="15">
      <c r="A335" s="5" t="s">
        <v>1434</v>
      </c>
      <c r="B335" s="5" t="s">
        <v>26</v>
      </c>
      <c r="C335" s="5" t="s">
        <v>27</v>
      </c>
      <c r="D335" s="5">
        <v>121</v>
      </c>
      <c r="E335" s="7" t="s">
        <v>77</v>
      </c>
      <c r="F335" s="5"/>
      <c r="G335" s="5" t="s">
        <v>1435</v>
      </c>
      <c r="H335" s="5">
        <v>2</v>
      </c>
      <c r="I335" s="8">
        <v>45566</v>
      </c>
      <c r="J335" s="9">
        <v>47026</v>
      </c>
      <c r="K335" s="5" t="s">
        <v>29</v>
      </c>
      <c r="L335" s="5" t="s">
        <v>141</v>
      </c>
      <c r="M335" s="5" t="s">
        <v>1436</v>
      </c>
      <c r="N335" s="5" t="s">
        <v>143</v>
      </c>
      <c r="O335" s="5"/>
      <c r="P335" s="44" t="s">
        <v>1437</v>
      </c>
      <c r="Q335" s="12"/>
      <c r="R335" s="5"/>
      <c r="S335" s="5"/>
      <c r="T335" s="5" t="s">
        <v>39</v>
      </c>
      <c r="U335" s="8">
        <v>37004</v>
      </c>
      <c r="V335" s="5"/>
      <c r="W335" s="5"/>
      <c r="X335" s="5"/>
      <c r="Y335" s="5" t="s">
        <v>94</v>
      </c>
    </row>
    <row r="336" spans="1:25" ht="15">
      <c r="A336" s="5" t="s">
        <v>1438</v>
      </c>
      <c r="B336" s="5" t="s">
        <v>26</v>
      </c>
      <c r="C336" s="5" t="s">
        <v>27</v>
      </c>
      <c r="D336" s="5">
        <v>122</v>
      </c>
      <c r="E336" s="7" t="s">
        <v>28</v>
      </c>
      <c r="F336" s="5"/>
      <c r="G336" s="5" t="s">
        <v>1439</v>
      </c>
      <c r="H336" s="5">
        <v>2</v>
      </c>
      <c r="I336" s="8">
        <v>45566</v>
      </c>
      <c r="J336" s="9">
        <v>47026</v>
      </c>
      <c r="K336" s="5" t="s">
        <v>29</v>
      </c>
      <c r="L336" s="5" t="s">
        <v>141</v>
      </c>
      <c r="M336" s="88" t="s">
        <v>1440</v>
      </c>
      <c r="N336" s="5" t="s">
        <v>143</v>
      </c>
      <c r="O336" s="5"/>
      <c r="P336" s="44" t="s">
        <v>1441</v>
      </c>
      <c r="Q336" s="12"/>
      <c r="R336" s="5"/>
      <c r="S336" s="5"/>
      <c r="T336" s="5" t="s">
        <v>39</v>
      </c>
      <c r="U336" s="8">
        <v>35257</v>
      </c>
      <c r="V336" s="5"/>
      <c r="W336" s="5"/>
      <c r="X336" s="5"/>
      <c r="Y336" s="5" t="s">
        <v>31</v>
      </c>
    </row>
    <row r="337" spans="1:25" ht="13.8">
      <c r="A337" s="5" t="s">
        <v>1442</v>
      </c>
      <c r="B337" s="5" t="s">
        <v>68</v>
      </c>
      <c r="C337" s="5" t="s">
        <v>27</v>
      </c>
      <c r="D337" s="5">
        <v>172</v>
      </c>
      <c r="E337" s="7" t="s">
        <v>180</v>
      </c>
      <c r="F337" s="5" t="s">
        <v>181</v>
      </c>
      <c r="G337" s="5" t="s">
        <v>462</v>
      </c>
      <c r="H337" s="5">
        <v>3</v>
      </c>
      <c r="I337" s="8">
        <v>44835</v>
      </c>
      <c r="J337" s="8">
        <v>46660</v>
      </c>
      <c r="K337" s="5" t="s">
        <v>508</v>
      </c>
      <c r="L337" s="5" t="s">
        <v>50</v>
      </c>
      <c r="M337" s="60" t="s">
        <v>1443</v>
      </c>
      <c r="N337" s="21" t="s">
        <v>52</v>
      </c>
      <c r="O337" s="5" t="s">
        <v>64</v>
      </c>
      <c r="P337" s="53" t="s">
        <v>1444</v>
      </c>
      <c r="Q337" s="12"/>
      <c r="R337" s="5"/>
      <c r="S337" s="5" t="s">
        <v>1445</v>
      </c>
      <c r="T337" s="5" t="s">
        <v>39</v>
      </c>
      <c r="U337" s="16">
        <v>32976</v>
      </c>
      <c r="V337" s="50" t="s">
        <v>1446</v>
      </c>
      <c r="W337" s="5" t="s">
        <v>1447</v>
      </c>
      <c r="X337" s="6">
        <v>2022</v>
      </c>
      <c r="Y337" s="5"/>
    </row>
    <row r="338" spans="1:25" ht="13.8">
      <c r="A338" s="13" t="s">
        <v>1448</v>
      </c>
      <c r="B338" s="5" t="s">
        <v>26</v>
      </c>
      <c r="C338" s="5" t="s">
        <v>27</v>
      </c>
      <c r="D338" s="5">
        <v>171</v>
      </c>
      <c r="E338" s="7" t="s">
        <v>115</v>
      </c>
      <c r="F338" s="5"/>
      <c r="G338" s="5" t="s">
        <v>488</v>
      </c>
      <c r="H338" s="5">
        <v>3</v>
      </c>
      <c r="I338" s="8">
        <v>45047</v>
      </c>
      <c r="J338" s="8">
        <v>46507</v>
      </c>
      <c r="K338" s="5" t="s">
        <v>29</v>
      </c>
      <c r="L338" s="5" t="s">
        <v>35</v>
      </c>
      <c r="M338" s="60" t="s">
        <v>1449</v>
      </c>
      <c r="N338" s="12" t="s">
        <v>37</v>
      </c>
      <c r="O338" s="5"/>
      <c r="P338" s="72" t="s">
        <v>1450</v>
      </c>
      <c r="Q338" s="12"/>
      <c r="R338" s="5"/>
      <c r="S338" s="5"/>
      <c r="T338" s="5" t="s">
        <v>39</v>
      </c>
      <c r="U338" s="16">
        <v>29722</v>
      </c>
      <c r="V338" s="5">
        <f>380677541142</f>
        <v>380677541142</v>
      </c>
      <c r="W338" s="5" t="s">
        <v>561</v>
      </c>
      <c r="X338" s="6">
        <v>2004</v>
      </c>
      <c r="Y338" s="5" t="s">
        <v>160</v>
      </c>
    </row>
    <row r="339" spans="1:25" ht="13.8">
      <c r="A339" s="13" t="s">
        <v>1451</v>
      </c>
      <c r="B339" s="5" t="s">
        <v>26</v>
      </c>
      <c r="C339" s="5" t="s">
        <v>27</v>
      </c>
      <c r="D339" s="6" t="s">
        <v>43</v>
      </c>
      <c r="E339" s="7"/>
      <c r="F339" s="5"/>
      <c r="G339" s="5"/>
      <c r="H339" s="5">
        <v>1</v>
      </c>
      <c r="I339" s="8">
        <v>45931</v>
      </c>
      <c r="J339" s="8">
        <v>47391</v>
      </c>
      <c r="K339" s="5" t="s">
        <v>29</v>
      </c>
      <c r="L339" s="5" t="s">
        <v>30</v>
      </c>
      <c r="M339" s="34" t="s">
        <v>1452</v>
      </c>
      <c r="N339" s="5" t="s">
        <v>45</v>
      </c>
      <c r="O339" s="5"/>
      <c r="P339" s="35"/>
      <c r="Q339" s="12"/>
      <c r="R339" s="5"/>
      <c r="S339" s="5"/>
      <c r="T339" s="5"/>
      <c r="U339" s="5"/>
      <c r="V339" s="5"/>
      <c r="W339" s="5"/>
      <c r="X339" s="5"/>
      <c r="Y339" s="5"/>
    </row>
    <row r="340" spans="1:25" ht="13.8">
      <c r="A340" s="28" t="s">
        <v>1453</v>
      </c>
      <c r="B340" s="5" t="s">
        <v>26</v>
      </c>
      <c r="C340" s="5" t="s">
        <v>27</v>
      </c>
      <c r="D340" s="29">
        <v>105</v>
      </c>
      <c r="E340" s="30" t="s">
        <v>216</v>
      </c>
      <c r="F340" s="5"/>
      <c r="G340" s="13" t="s">
        <v>1009</v>
      </c>
      <c r="H340" s="5">
        <v>3</v>
      </c>
      <c r="I340" s="8">
        <v>45200</v>
      </c>
      <c r="J340" s="8">
        <v>46660</v>
      </c>
      <c r="K340" s="5" t="s">
        <v>29</v>
      </c>
      <c r="L340" s="5" t="s">
        <v>35</v>
      </c>
      <c r="M340" s="60" t="s">
        <v>1454</v>
      </c>
      <c r="N340" s="5" t="s">
        <v>85</v>
      </c>
      <c r="O340" s="5"/>
      <c r="P340" s="5" t="s">
        <v>1455</v>
      </c>
      <c r="Q340" s="12"/>
      <c r="R340" s="5"/>
      <c r="S340" s="5"/>
      <c r="T340" s="31" t="s">
        <v>39</v>
      </c>
      <c r="U340" s="33">
        <v>32876</v>
      </c>
      <c r="V340" s="5"/>
      <c r="W340" s="5"/>
      <c r="X340" s="5"/>
      <c r="Y340" s="5" t="s">
        <v>220</v>
      </c>
    </row>
    <row r="341" spans="1:25" ht="13.8">
      <c r="A341" s="5" t="s">
        <v>1456</v>
      </c>
      <c r="B341" s="5" t="s">
        <v>26</v>
      </c>
      <c r="C341" s="5" t="s">
        <v>27</v>
      </c>
      <c r="D341" s="5">
        <v>122</v>
      </c>
      <c r="E341" s="30" t="s">
        <v>124</v>
      </c>
      <c r="F341" s="5" t="s">
        <v>125</v>
      </c>
      <c r="G341" s="5" t="s">
        <v>817</v>
      </c>
      <c r="H341" s="5">
        <v>4</v>
      </c>
      <c r="I341" s="8">
        <v>44835</v>
      </c>
      <c r="J341" s="8">
        <v>46295</v>
      </c>
      <c r="K341" s="5" t="s">
        <v>29</v>
      </c>
      <c r="L341" s="5" t="s">
        <v>35</v>
      </c>
      <c r="M341" s="53" t="s">
        <v>1457</v>
      </c>
      <c r="N341" s="21" t="s">
        <v>52</v>
      </c>
      <c r="O341" s="5" t="s">
        <v>64</v>
      </c>
      <c r="P341" s="53" t="s">
        <v>1458</v>
      </c>
      <c r="Q341" s="12"/>
      <c r="R341" s="5"/>
      <c r="S341" s="5"/>
      <c r="T341" s="5" t="s">
        <v>39</v>
      </c>
      <c r="U341" s="16">
        <v>34833</v>
      </c>
      <c r="V341" s="5" t="s">
        <v>1459</v>
      </c>
      <c r="W341" s="5" t="s">
        <v>40</v>
      </c>
      <c r="X341" s="6">
        <v>2018</v>
      </c>
      <c r="Y341" s="5" t="s">
        <v>266</v>
      </c>
    </row>
    <row r="342" spans="1:25" ht="15">
      <c r="A342" s="5" t="s">
        <v>1460</v>
      </c>
      <c r="B342" s="5" t="s">
        <v>26</v>
      </c>
      <c r="C342" s="5" t="s">
        <v>27</v>
      </c>
      <c r="D342" s="5">
        <v>174</v>
      </c>
      <c r="E342" s="7" t="s">
        <v>138</v>
      </c>
      <c r="F342" s="5" t="s">
        <v>139</v>
      </c>
      <c r="G342" s="17" t="s">
        <v>268</v>
      </c>
      <c r="H342" s="5">
        <v>2</v>
      </c>
      <c r="I342" s="8">
        <v>45566</v>
      </c>
      <c r="J342" s="9">
        <v>47026</v>
      </c>
      <c r="K342" s="5" t="s">
        <v>29</v>
      </c>
      <c r="L342" s="5" t="s">
        <v>141</v>
      </c>
      <c r="M342" s="66" t="s">
        <v>1461</v>
      </c>
      <c r="N342" s="5" t="s">
        <v>143</v>
      </c>
      <c r="O342" s="5"/>
      <c r="P342" s="44" t="s">
        <v>1462</v>
      </c>
      <c r="Q342" s="12"/>
      <c r="R342" s="5"/>
      <c r="S342" s="5"/>
      <c r="T342" s="5" t="s">
        <v>39</v>
      </c>
      <c r="U342" s="8">
        <v>36427</v>
      </c>
      <c r="V342" s="5"/>
      <c r="W342" s="5"/>
      <c r="X342" s="5"/>
      <c r="Y342" s="5"/>
    </row>
    <row r="343" spans="1:25" ht="15">
      <c r="A343" s="5" t="s">
        <v>1463</v>
      </c>
      <c r="B343" s="5" t="s">
        <v>26</v>
      </c>
      <c r="C343" s="5" t="s">
        <v>27</v>
      </c>
      <c r="D343" s="5">
        <v>121</v>
      </c>
      <c r="E343" s="7" t="s">
        <v>77</v>
      </c>
      <c r="F343" s="5"/>
      <c r="G343" s="5" t="s">
        <v>1020</v>
      </c>
      <c r="H343" s="5">
        <v>2</v>
      </c>
      <c r="I343" s="8">
        <v>45566</v>
      </c>
      <c r="J343" s="9">
        <v>47026</v>
      </c>
      <c r="K343" s="5" t="s">
        <v>29</v>
      </c>
      <c r="L343" s="5" t="s">
        <v>141</v>
      </c>
      <c r="M343" s="5" t="s">
        <v>1464</v>
      </c>
      <c r="N343" s="5" t="s">
        <v>143</v>
      </c>
      <c r="O343" s="5"/>
      <c r="P343" s="44" t="s">
        <v>1465</v>
      </c>
      <c r="Q343" s="12"/>
      <c r="R343" s="5"/>
      <c r="S343" s="5"/>
      <c r="T343" s="5" t="s">
        <v>39</v>
      </c>
      <c r="U343" s="8">
        <v>36955</v>
      </c>
      <c r="V343" s="5"/>
      <c r="W343" s="5"/>
      <c r="X343" s="5"/>
      <c r="Y343" s="5" t="s">
        <v>94</v>
      </c>
    </row>
    <row r="344" spans="1:25" ht="13.8">
      <c r="A344" s="28" t="s">
        <v>1466</v>
      </c>
      <c r="B344" s="5" t="s">
        <v>26</v>
      </c>
      <c r="C344" s="5" t="s">
        <v>27</v>
      </c>
      <c r="D344" s="29">
        <v>125</v>
      </c>
      <c r="E344" s="30" t="s">
        <v>131</v>
      </c>
      <c r="F344" s="5" t="s">
        <v>238</v>
      </c>
      <c r="G344" s="13" t="s">
        <v>1467</v>
      </c>
      <c r="H344" s="5">
        <v>3</v>
      </c>
      <c r="I344" s="8">
        <v>45200</v>
      </c>
      <c r="J344" s="8">
        <v>46660</v>
      </c>
      <c r="K344" s="5" t="s">
        <v>29</v>
      </c>
      <c r="L344" s="5" t="s">
        <v>35</v>
      </c>
      <c r="M344" s="13" t="s">
        <v>1468</v>
      </c>
      <c r="N344" s="5" t="s">
        <v>85</v>
      </c>
      <c r="O344" s="5"/>
      <c r="P344" s="5" t="s">
        <v>1469</v>
      </c>
      <c r="Q344" s="12"/>
      <c r="R344" s="5"/>
      <c r="S344" s="5"/>
      <c r="T344" s="31" t="s">
        <v>39</v>
      </c>
      <c r="U344" s="33">
        <v>35916</v>
      </c>
      <c r="V344" s="5"/>
      <c r="W344" s="5"/>
      <c r="X344" s="5"/>
      <c r="Y344" s="5" t="s">
        <v>136</v>
      </c>
    </row>
    <row r="345" spans="1:25" ht="13.8">
      <c r="A345" s="5" t="s">
        <v>1470</v>
      </c>
      <c r="B345" s="5" t="s">
        <v>47</v>
      </c>
      <c r="C345" s="5" t="s">
        <v>27</v>
      </c>
      <c r="D345" s="5">
        <v>122</v>
      </c>
      <c r="E345" s="7" t="s">
        <v>33</v>
      </c>
      <c r="F345" s="5"/>
      <c r="G345" s="5" t="s">
        <v>1180</v>
      </c>
      <c r="H345" s="6"/>
      <c r="I345" s="8">
        <v>44105</v>
      </c>
      <c r="J345" s="8">
        <v>45824</v>
      </c>
      <c r="K345" s="5" t="s">
        <v>29</v>
      </c>
      <c r="L345" s="5" t="s">
        <v>35</v>
      </c>
      <c r="M345" s="13" t="s">
        <v>1471</v>
      </c>
      <c r="N345" s="5" t="s">
        <v>150</v>
      </c>
      <c r="O345" s="5" t="s">
        <v>151</v>
      </c>
      <c r="P345" s="53"/>
      <c r="Q345" s="12" t="s">
        <v>273</v>
      </c>
      <c r="R345" s="5" t="s">
        <v>1472</v>
      </c>
      <c r="S345" s="5" t="s">
        <v>1473</v>
      </c>
      <c r="T345" s="5" t="s">
        <v>39</v>
      </c>
      <c r="U345" s="8">
        <v>35556</v>
      </c>
      <c r="V345" s="5"/>
      <c r="W345" s="5"/>
      <c r="X345" s="5"/>
      <c r="Y345" s="5"/>
    </row>
    <row r="346" spans="1:25" ht="13.8">
      <c r="A346" s="13" t="s">
        <v>1474</v>
      </c>
      <c r="B346" s="5" t="s">
        <v>26</v>
      </c>
      <c r="C346" s="5" t="s">
        <v>27</v>
      </c>
      <c r="D346" s="6" t="s">
        <v>596</v>
      </c>
      <c r="E346" s="7" t="s">
        <v>192</v>
      </c>
      <c r="F346" s="5"/>
      <c r="G346" s="5"/>
      <c r="H346" s="5">
        <v>1</v>
      </c>
      <c r="I346" s="8">
        <v>45931</v>
      </c>
      <c r="J346" s="8">
        <v>47391</v>
      </c>
      <c r="K346" s="5" t="s">
        <v>29</v>
      </c>
      <c r="L346" s="5" t="s">
        <v>30</v>
      </c>
      <c r="M346" s="34" t="s">
        <v>1475</v>
      </c>
      <c r="N346" s="5" t="s">
        <v>45</v>
      </c>
      <c r="O346" s="5"/>
      <c r="P346" s="35"/>
      <c r="Q346" s="12"/>
      <c r="R346" s="5"/>
      <c r="S346" s="5"/>
      <c r="T346" s="5"/>
      <c r="U346" s="5"/>
      <c r="V346" s="5"/>
      <c r="W346" s="5"/>
      <c r="X346" s="5"/>
      <c r="Y346" s="5"/>
    </row>
    <row r="347" spans="1:25" ht="15">
      <c r="A347" s="5" t="s">
        <v>1476</v>
      </c>
      <c r="B347" s="5" t="s">
        <v>26</v>
      </c>
      <c r="C347" s="5" t="s">
        <v>118</v>
      </c>
      <c r="D347" s="5">
        <v>113</v>
      </c>
      <c r="E347" s="7" t="s">
        <v>203</v>
      </c>
      <c r="F347" s="5"/>
      <c r="G347" s="5" t="s">
        <v>209</v>
      </c>
      <c r="H347" s="5">
        <v>2</v>
      </c>
      <c r="I347" s="8">
        <v>45566</v>
      </c>
      <c r="J347" s="9">
        <v>47026</v>
      </c>
      <c r="K347" s="5" t="s">
        <v>120</v>
      </c>
      <c r="L347" s="5" t="s">
        <v>35</v>
      </c>
      <c r="M347" s="5" t="s">
        <v>1477</v>
      </c>
      <c r="N347" s="5" t="s">
        <v>211</v>
      </c>
      <c r="O347" s="5" t="s">
        <v>184</v>
      </c>
      <c r="P347" s="44" t="s">
        <v>1478</v>
      </c>
      <c r="Q347" s="12"/>
      <c r="R347" s="5"/>
      <c r="S347" s="5"/>
      <c r="T347" s="5" t="s">
        <v>39</v>
      </c>
      <c r="U347" s="8">
        <v>35768</v>
      </c>
      <c r="V347" s="5"/>
      <c r="W347" s="5"/>
      <c r="X347" s="5"/>
      <c r="Y347" s="5"/>
    </row>
    <row r="348" spans="1:25" ht="24" customHeight="1">
      <c r="A348" s="5" t="s">
        <v>1479</v>
      </c>
      <c r="B348" s="5" t="s">
        <v>26</v>
      </c>
      <c r="C348" s="5" t="s">
        <v>27</v>
      </c>
      <c r="D348" s="5">
        <v>171</v>
      </c>
      <c r="E348" s="7" t="s">
        <v>115</v>
      </c>
      <c r="F348" s="5"/>
      <c r="G348" s="5" t="s">
        <v>545</v>
      </c>
      <c r="H348" s="5">
        <v>2</v>
      </c>
      <c r="I348" s="8">
        <v>45566</v>
      </c>
      <c r="J348" s="9">
        <v>47026</v>
      </c>
      <c r="K348" s="5" t="s">
        <v>29</v>
      </c>
      <c r="L348" s="5" t="s">
        <v>141</v>
      </c>
      <c r="M348" s="66" t="s">
        <v>1480</v>
      </c>
      <c r="N348" s="5" t="s">
        <v>143</v>
      </c>
      <c r="O348" s="5"/>
      <c r="P348" s="44" t="s">
        <v>1481</v>
      </c>
      <c r="Q348" s="12"/>
      <c r="R348" s="5"/>
      <c r="S348" s="5"/>
      <c r="T348" s="5" t="s">
        <v>39</v>
      </c>
      <c r="U348" s="8">
        <v>35693</v>
      </c>
      <c r="V348" s="5"/>
      <c r="W348" s="5"/>
      <c r="X348" s="5"/>
      <c r="Y348" s="5" t="s">
        <v>160</v>
      </c>
    </row>
    <row r="349" spans="1:25" ht="13.8">
      <c r="A349" s="28" t="s">
        <v>1482</v>
      </c>
      <c r="B349" s="5" t="s">
        <v>26</v>
      </c>
      <c r="C349" s="5" t="s">
        <v>27</v>
      </c>
      <c r="D349" s="29">
        <v>123</v>
      </c>
      <c r="E349" s="30" t="s">
        <v>249</v>
      </c>
      <c r="F349" s="5" t="s">
        <v>250</v>
      </c>
      <c r="G349" s="13" t="s">
        <v>251</v>
      </c>
      <c r="H349" s="5">
        <v>3</v>
      </c>
      <c r="I349" s="8">
        <v>45200</v>
      </c>
      <c r="J349" s="8">
        <v>46660</v>
      </c>
      <c r="K349" s="5" t="s">
        <v>29</v>
      </c>
      <c r="L349" s="5" t="s">
        <v>35</v>
      </c>
      <c r="M349" s="13" t="s">
        <v>1483</v>
      </c>
      <c r="N349" s="5" t="s">
        <v>85</v>
      </c>
      <c r="O349" s="5"/>
      <c r="P349" s="5" t="s">
        <v>1484</v>
      </c>
      <c r="Q349" s="12"/>
      <c r="R349" s="5"/>
      <c r="S349" s="5"/>
      <c r="T349" s="37" t="s">
        <v>39</v>
      </c>
      <c r="U349" s="33">
        <v>36202</v>
      </c>
      <c r="V349" s="5"/>
      <c r="W349" s="5"/>
      <c r="X349" s="5"/>
      <c r="Y349" s="5" t="s">
        <v>299</v>
      </c>
    </row>
    <row r="350" spans="1:25" ht="15">
      <c r="A350" s="5" t="s">
        <v>1485</v>
      </c>
      <c r="B350" s="5" t="s">
        <v>26</v>
      </c>
      <c r="C350" s="5" t="s">
        <v>27</v>
      </c>
      <c r="D350" s="5">
        <v>174</v>
      </c>
      <c r="E350" s="7" t="s">
        <v>138</v>
      </c>
      <c r="F350" s="5" t="s">
        <v>139</v>
      </c>
      <c r="G350" s="5" t="s">
        <v>258</v>
      </c>
      <c r="H350" s="5">
        <v>2</v>
      </c>
      <c r="I350" s="8">
        <v>45566</v>
      </c>
      <c r="J350" s="9">
        <v>47026</v>
      </c>
      <c r="K350" s="5" t="s">
        <v>29</v>
      </c>
      <c r="L350" s="5" t="s">
        <v>141</v>
      </c>
      <c r="M350" s="52" t="s">
        <v>1486</v>
      </c>
      <c r="N350" s="5" t="s">
        <v>143</v>
      </c>
      <c r="O350" s="5"/>
      <c r="P350" s="44" t="s">
        <v>1487</v>
      </c>
      <c r="Q350" s="12"/>
      <c r="R350" s="5"/>
      <c r="S350" s="5"/>
      <c r="T350" s="5" t="s">
        <v>39</v>
      </c>
      <c r="U350" s="8">
        <v>35178</v>
      </c>
      <c r="V350" s="5"/>
      <c r="W350" s="5"/>
      <c r="X350" s="5"/>
      <c r="Y350" s="5"/>
    </row>
    <row r="351" spans="1:25" ht="13.8">
      <c r="A351" s="13" t="s">
        <v>1488</v>
      </c>
      <c r="B351" s="5" t="s">
        <v>26</v>
      </c>
      <c r="C351" s="5" t="s">
        <v>27</v>
      </c>
      <c r="D351" s="5">
        <v>113</v>
      </c>
      <c r="E351" s="7" t="s">
        <v>203</v>
      </c>
      <c r="F351" s="5"/>
      <c r="G351" s="5" t="s">
        <v>569</v>
      </c>
      <c r="H351" s="5">
        <v>3</v>
      </c>
      <c r="I351" s="8">
        <v>45047</v>
      </c>
      <c r="J351" s="8">
        <v>46507</v>
      </c>
      <c r="K351" s="5" t="s">
        <v>29</v>
      </c>
      <c r="L351" s="5" t="s">
        <v>35</v>
      </c>
      <c r="M351" s="53" t="s">
        <v>1489</v>
      </c>
      <c r="N351" s="12" t="s">
        <v>37</v>
      </c>
      <c r="O351" s="5"/>
      <c r="P351" s="74" t="s">
        <v>1490</v>
      </c>
      <c r="Q351" s="12"/>
      <c r="R351" s="5"/>
      <c r="S351" s="5"/>
      <c r="T351" s="5" t="s">
        <v>39</v>
      </c>
      <c r="U351" s="16">
        <v>36093</v>
      </c>
      <c r="V351" s="5">
        <f>380668521453</f>
        <v>380668521453</v>
      </c>
      <c r="W351" s="5" t="s">
        <v>40</v>
      </c>
      <c r="X351" s="6">
        <v>2021</v>
      </c>
      <c r="Y351" s="5" t="s">
        <v>41</v>
      </c>
    </row>
    <row r="352" spans="1:25" ht="13.8">
      <c r="A352" s="13" t="s">
        <v>1491</v>
      </c>
      <c r="B352" s="5" t="s">
        <v>26</v>
      </c>
      <c r="C352" s="5" t="s">
        <v>27</v>
      </c>
      <c r="D352" s="6" t="s">
        <v>103</v>
      </c>
      <c r="E352" s="7" t="s">
        <v>104</v>
      </c>
      <c r="F352" s="5"/>
      <c r="G352" s="5"/>
      <c r="H352" s="5">
        <v>1</v>
      </c>
      <c r="I352" s="8">
        <v>45931</v>
      </c>
      <c r="J352" s="8">
        <v>47391</v>
      </c>
      <c r="K352" s="5" t="s">
        <v>29</v>
      </c>
      <c r="L352" s="5" t="s">
        <v>30</v>
      </c>
      <c r="M352" s="34" t="s">
        <v>1492</v>
      </c>
      <c r="N352" s="5" t="s">
        <v>45</v>
      </c>
      <c r="O352" s="5"/>
      <c r="P352" s="35"/>
      <c r="Q352" s="12"/>
      <c r="R352" s="5"/>
      <c r="S352" s="5"/>
      <c r="T352" s="5"/>
      <c r="U352" s="5"/>
      <c r="V352" s="5"/>
      <c r="W352" s="5"/>
      <c r="X352" s="5"/>
      <c r="Y352" s="5"/>
    </row>
    <row r="353" spans="1:25" ht="13.8">
      <c r="A353" s="13" t="s">
        <v>1493</v>
      </c>
      <c r="B353" s="5" t="s">
        <v>26</v>
      </c>
      <c r="C353" s="5" t="s">
        <v>27</v>
      </c>
      <c r="D353" s="29">
        <v>121</v>
      </c>
      <c r="E353" s="30" t="s">
        <v>77</v>
      </c>
      <c r="F353" s="5"/>
      <c r="G353" s="13" t="s">
        <v>1494</v>
      </c>
      <c r="H353" s="5">
        <v>2</v>
      </c>
      <c r="I353" s="8">
        <v>45231</v>
      </c>
      <c r="J353" s="36">
        <v>46691</v>
      </c>
      <c r="K353" s="5" t="s">
        <v>29</v>
      </c>
      <c r="L353" s="5" t="s">
        <v>35</v>
      </c>
      <c r="M353" s="13" t="s">
        <v>1495</v>
      </c>
      <c r="N353" s="37" t="s">
        <v>128</v>
      </c>
      <c r="O353" s="5"/>
      <c r="P353" s="5" t="s">
        <v>1496</v>
      </c>
      <c r="Q353" s="12"/>
      <c r="R353" s="5"/>
      <c r="S353" s="5"/>
      <c r="T353" s="5" t="s">
        <v>39</v>
      </c>
      <c r="U353" s="33">
        <v>28438</v>
      </c>
      <c r="V353" s="5"/>
      <c r="W353" s="5"/>
      <c r="X353" s="5"/>
      <c r="Y353" s="5" t="s">
        <v>94</v>
      </c>
    </row>
    <row r="354" spans="1:25" ht="13.8">
      <c r="A354" s="28" t="s">
        <v>1497</v>
      </c>
      <c r="B354" s="5" t="s">
        <v>26</v>
      </c>
      <c r="C354" s="5" t="s">
        <v>27</v>
      </c>
      <c r="D354" s="29">
        <v>121</v>
      </c>
      <c r="E354" s="30" t="s">
        <v>77</v>
      </c>
      <c r="F354" s="5"/>
      <c r="G354" s="13" t="s">
        <v>1498</v>
      </c>
      <c r="H354" s="5">
        <v>3</v>
      </c>
      <c r="I354" s="8">
        <v>45200</v>
      </c>
      <c r="J354" s="8">
        <v>46660</v>
      </c>
      <c r="K354" s="5" t="s">
        <v>29</v>
      </c>
      <c r="L354" s="5" t="s">
        <v>35</v>
      </c>
      <c r="M354" s="13" t="s">
        <v>1499</v>
      </c>
      <c r="N354" s="5" t="s">
        <v>85</v>
      </c>
      <c r="O354" s="5"/>
      <c r="P354" s="5" t="s">
        <v>1500</v>
      </c>
      <c r="Q354" s="12"/>
      <c r="R354" s="5"/>
      <c r="S354" s="5"/>
      <c r="T354" s="31" t="s">
        <v>39</v>
      </c>
      <c r="U354" s="33">
        <v>36605</v>
      </c>
      <c r="V354" s="5"/>
      <c r="W354" s="5"/>
      <c r="X354" s="5"/>
      <c r="Y354" s="5" t="s">
        <v>94</v>
      </c>
    </row>
    <row r="355" spans="1:25" ht="13.8">
      <c r="A355" s="28" t="s">
        <v>1501</v>
      </c>
      <c r="B355" s="5" t="s">
        <v>26</v>
      </c>
      <c r="C355" s="5" t="s">
        <v>27</v>
      </c>
      <c r="D355" s="29">
        <v>172</v>
      </c>
      <c r="E355" s="30" t="s">
        <v>180</v>
      </c>
      <c r="F355" s="5" t="s">
        <v>181</v>
      </c>
      <c r="G355" s="13" t="s">
        <v>1502</v>
      </c>
      <c r="H355" s="5">
        <v>3</v>
      </c>
      <c r="I355" s="8">
        <v>45200</v>
      </c>
      <c r="J355" s="8">
        <v>46660</v>
      </c>
      <c r="K355" s="5" t="s">
        <v>29</v>
      </c>
      <c r="L355" s="5" t="s">
        <v>35</v>
      </c>
      <c r="M355" s="13" t="s">
        <v>1503</v>
      </c>
      <c r="N355" s="5" t="s">
        <v>85</v>
      </c>
      <c r="O355" s="5"/>
      <c r="P355" s="5" t="s">
        <v>1504</v>
      </c>
      <c r="Q355" s="12"/>
      <c r="R355" s="5"/>
      <c r="S355" s="5" t="s">
        <v>1505</v>
      </c>
      <c r="T355" s="31" t="s">
        <v>39</v>
      </c>
      <c r="U355" s="33">
        <v>32356</v>
      </c>
      <c r="V355" s="5"/>
      <c r="W355" s="5"/>
      <c r="X355" s="5"/>
      <c r="Y355" s="5"/>
    </row>
    <row r="356" spans="1:25" ht="13.8">
      <c r="A356" s="13" t="s">
        <v>1506</v>
      </c>
      <c r="B356" s="61" t="s">
        <v>26</v>
      </c>
      <c r="C356" s="5" t="s">
        <v>27</v>
      </c>
      <c r="D356" s="61">
        <v>51</v>
      </c>
      <c r="E356" s="64" t="s">
        <v>192</v>
      </c>
      <c r="F356" s="5"/>
      <c r="G356" s="5" t="s">
        <v>194</v>
      </c>
      <c r="H356" s="5">
        <v>3</v>
      </c>
      <c r="I356" s="8">
        <v>45047</v>
      </c>
      <c r="J356" s="8">
        <v>46507</v>
      </c>
      <c r="K356" s="5" t="s">
        <v>29</v>
      </c>
      <c r="L356" s="5" t="s">
        <v>35</v>
      </c>
      <c r="M356" s="60" t="s">
        <v>1507</v>
      </c>
      <c r="N356" s="12" t="s">
        <v>37</v>
      </c>
      <c r="O356" s="5"/>
      <c r="P356" s="72" t="s">
        <v>1508</v>
      </c>
      <c r="Q356" s="12"/>
      <c r="R356" s="5"/>
      <c r="S356" s="5"/>
      <c r="T356" s="5" t="s">
        <v>39</v>
      </c>
      <c r="U356" s="16">
        <v>25627</v>
      </c>
      <c r="V356" s="5">
        <f>380503036837</f>
        <v>380503036837</v>
      </c>
      <c r="W356" s="5" t="s">
        <v>1509</v>
      </c>
      <c r="X356" s="6">
        <v>1993</v>
      </c>
      <c r="Y356" s="5" t="s">
        <v>41</v>
      </c>
    </row>
    <row r="357" spans="1:25" ht="13.8">
      <c r="A357" s="28" t="s">
        <v>1510</v>
      </c>
      <c r="B357" s="5" t="s">
        <v>26</v>
      </c>
      <c r="C357" s="5" t="s">
        <v>27</v>
      </c>
      <c r="D357" s="29">
        <v>122</v>
      </c>
      <c r="E357" s="30" t="s">
        <v>33</v>
      </c>
      <c r="F357" s="5"/>
      <c r="G357" s="13" t="s">
        <v>1511</v>
      </c>
      <c r="H357" s="5">
        <v>3</v>
      </c>
      <c r="I357" s="8">
        <v>45200</v>
      </c>
      <c r="J357" s="8">
        <v>46660</v>
      </c>
      <c r="K357" s="5" t="s">
        <v>29</v>
      </c>
      <c r="L357" s="5" t="s">
        <v>35</v>
      </c>
      <c r="M357" s="13" t="s">
        <v>1512</v>
      </c>
      <c r="N357" s="5" t="s">
        <v>85</v>
      </c>
      <c r="O357" s="5"/>
      <c r="P357" s="5" t="s">
        <v>1513</v>
      </c>
      <c r="Q357" s="12"/>
      <c r="R357" s="5"/>
      <c r="S357" s="5"/>
      <c r="T357" s="31" t="s">
        <v>39</v>
      </c>
      <c r="U357" s="33">
        <v>36627</v>
      </c>
      <c r="V357" s="5"/>
      <c r="W357" s="5"/>
      <c r="X357" s="5"/>
      <c r="Y357" s="5" t="s">
        <v>41</v>
      </c>
    </row>
    <row r="358" spans="1:25" ht="13.8">
      <c r="A358" s="28" t="s">
        <v>1514</v>
      </c>
      <c r="B358" s="5" t="s">
        <v>26</v>
      </c>
      <c r="C358" s="5" t="s">
        <v>27</v>
      </c>
      <c r="D358" s="29">
        <v>172</v>
      </c>
      <c r="E358" s="30" t="s">
        <v>278</v>
      </c>
      <c r="F358" s="5"/>
      <c r="G358" s="13" t="s">
        <v>1515</v>
      </c>
      <c r="H358" s="5">
        <v>3</v>
      </c>
      <c r="I358" s="8">
        <v>45200</v>
      </c>
      <c r="J358" s="8">
        <v>46660</v>
      </c>
      <c r="K358" s="5" t="s">
        <v>29</v>
      </c>
      <c r="L358" s="5" t="s">
        <v>35</v>
      </c>
      <c r="M358" s="13" t="s">
        <v>1516</v>
      </c>
      <c r="N358" s="5" t="s">
        <v>85</v>
      </c>
      <c r="O358" s="5"/>
      <c r="P358" s="5" t="s">
        <v>1517</v>
      </c>
      <c r="Q358" s="12"/>
      <c r="R358" s="5"/>
      <c r="S358" s="5"/>
      <c r="T358" s="31" t="s">
        <v>39</v>
      </c>
      <c r="U358" s="32">
        <v>29945</v>
      </c>
      <c r="V358" s="5"/>
      <c r="W358" s="5"/>
      <c r="X358" s="5"/>
      <c r="Y358" s="5" t="s">
        <v>266</v>
      </c>
    </row>
    <row r="359" spans="1:25" ht="13.8">
      <c r="A359" s="5" t="s">
        <v>1518</v>
      </c>
      <c r="B359" s="5" t="s">
        <v>26</v>
      </c>
      <c r="C359" s="5" t="s">
        <v>27</v>
      </c>
      <c r="D359" s="5">
        <v>126</v>
      </c>
      <c r="E359" s="7" t="s">
        <v>80</v>
      </c>
      <c r="F359" s="5" t="s">
        <v>81</v>
      </c>
      <c r="G359" s="5" t="s">
        <v>119</v>
      </c>
      <c r="H359" s="5">
        <v>4</v>
      </c>
      <c r="I359" s="8">
        <v>44835</v>
      </c>
      <c r="J359" s="8">
        <v>46295</v>
      </c>
      <c r="K359" s="5" t="s">
        <v>29</v>
      </c>
      <c r="L359" s="5" t="s">
        <v>35</v>
      </c>
      <c r="M359" s="28" t="s">
        <v>1519</v>
      </c>
      <c r="N359" s="21" t="s">
        <v>52</v>
      </c>
      <c r="O359" s="5" t="s">
        <v>64</v>
      </c>
      <c r="P359" s="28" t="s">
        <v>1520</v>
      </c>
      <c r="Q359" s="12"/>
      <c r="R359" s="5"/>
      <c r="S359" s="5"/>
      <c r="T359" s="5" t="s">
        <v>47</v>
      </c>
      <c r="U359" s="16">
        <v>31209</v>
      </c>
      <c r="V359" s="50" t="s">
        <v>1521</v>
      </c>
      <c r="W359" s="5" t="s">
        <v>1522</v>
      </c>
      <c r="X359" s="6">
        <v>2010</v>
      </c>
      <c r="Y359" s="5" t="s">
        <v>88</v>
      </c>
    </row>
    <row r="360" spans="1:25" ht="13.8">
      <c r="A360" s="5" t="s">
        <v>1523</v>
      </c>
      <c r="B360" s="5" t="s">
        <v>47</v>
      </c>
      <c r="C360" s="5" t="s">
        <v>27</v>
      </c>
      <c r="D360" s="5">
        <v>122</v>
      </c>
      <c r="E360" s="7" t="s">
        <v>322</v>
      </c>
      <c r="F360" s="5"/>
      <c r="G360" s="5" t="s">
        <v>1524</v>
      </c>
      <c r="H360" s="5"/>
      <c r="I360" s="48">
        <v>44470</v>
      </c>
      <c r="J360" s="48">
        <v>45930</v>
      </c>
      <c r="K360" s="5" t="s">
        <v>29</v>
      </c>
      <c r="L360" s="5" t="s">
        <v>30</v>
      </c>
      <c r="M360" s="49" t="s">
        <v>1525</v>
      </c>
      <c r="N360" s="12" t="s">
        <v>270</v>
      </c>
      <c r="O360" s="5" t="s">
        <v>271</v>
      </c>
      <c r="P360" s="53" t="s">
        <v>1526</v>
      </c>
      <c r="Q360" s="12" t="s">
        <v>1141</v>
      </c>
      <c r="R360" s="5" t="s">
        <v>1142</v>
      </c>
      <c r="S360" s="5"/>
      <c r="T360" s="5" t="s">
        <v>39</v>
      </c>
      <c r="U360" s="48">
        <v>35243</v>
      </c>
      <c r="V360" s="50" t="s">
        <v>1527</v>
      </c>
      <c r="W360" s="5" t="s">
        <v>40</v>
      </c>
      <c r="X360" s="5">
        <v>2021</v>
      </c>
      <c r="Y360" s="5"/>
    </row>
    <row r="361" spans="1:25" ht="15">
      <c r="A361" s="5" t="s">
        <v>1528</v>
      </c>
      <c r="B361" s="5" t="s">
        <v>26</v>
      </c>
      <c r="C361" s="5" t="s">
        <v>27</v>
      </c>
      <c r="D361" s="5">
        <v>123</v>
      </c>
      <c r="E361" s="7" t="s">
        <v>80</v>
      </c>
      <c r="F361" s="5" t="s">
        <v>81</v>
      </c>
      <c r="G361" s="5" t="s">
        <v>82</v>
      </c>
      <c r="H361" s="5">
        <v>2</v>
      </c>
      <c r="I361" s="8">
        <v>45566</v>
      </c>
      <c r="J361" s="9">
        <v>47026</v>
      </c>
      <c r="K361" s="5" t="s">
        <v>29</v>
      </c>
      <c r="L361" s="5" t="s">
        <v>141</v>
      </c>
      <c r="M361" s="66" t="s">
        <v>1529</v>
      </c>
      <c r="N361" s="5" t="s">
        <v>143</v>
      </c>
      <c r="O361" s="5"/>
      <c r="P361" s="44" t="s">
        <v>1530</v>
      </c>
      <c r="Q361" s="12"/>
      <c r="R361" s="5"/>
      <c r="S361" s="5" t="s">
        <v>1531</v>
      </c>
      <c r="T361" s="5" t="s">
        <v>39</v>
      </c>
      <c r="U361" s="8">
        <v>35999</v>
      </c>
      <c r="V361" s="5"/>
      <c r="W361" s="5"/>
      <c r="X361" s="5"/>
      <c r="Y361" s="5" t="s">
        <v>88</v>
      </c>
    </row>
    <row r="362" spans="1:25" ht="15">
      <c r="A362" s="5" t="s">
        <v>1532</v>
      </c>
      <c r="B362" s="5" t="s">
        <v>26</v>
      </c>
      <c r="C362" s="5" t="s">
        <v>27</v>
      </c>
      <c r="D362" s="5">
        <v>122</v>
      </c>
      <c r="E362" s="7" t="s">
        <v>33</v>
      </c>
      <c r="F362" s="5"/>
      <c r="G362" s="5" t="s">
        <v>1533</v>
      </c>
      <c r="H362" s="5">
        <v>1</v>
      </c>
      <c r="I362" s="8">
        <v>45594</v>
      </c>
      <c r="J362" s="36">
        <v>47054</v>
      </c>
      <c r="K362" s="5" t="s">
        <v>83</v>
      </c>
      <c r="L362" s="5" t="s">
        <v>35</v>
      </c>
      <c r="M362" s="92" t="s">
        <v>1534</v>
      </c>
      <c r="N362" s="5" t="s">
        <v>1535</v>
      </c>
      <c r="O362" s="5" t="s">
        <v>184</v>
      </c>
      <c r="P362" s="76" t="s">
        <v>1536</v>
      </c>
      <c r="Q362" s="12"/>
      <c r="R362" s="5"/>
      <c r="S362" s="5" t="s">
        <v>1081</v>
      </c>
      <c r="T362" s="5" t="s">
        <v>39</v>
      </c>
      <c r="U362" s="5" t="s">
        <v>1537</v>
      </c>
      <c r="V362" s="5"/>
      <c r="W362" s="5"/>
      <c r="X362" s="5"/>
      <c r="Y362" s="5" t="s">
        <v>41</v>
      </c>
    </row>
    <row r="363" spans="1:25" ht="13.8">
      <c r="A363" s="5" t="s">
        <v>1538</v>
      </c>
      <c r="B363" s="5" t="s">
        <v>26</v>
      </c>
      <c r="C363" s="5" t="s">
        <v>27</v>
      </c>
      <c r="D363" s="5">
        <v>121</v>
      </c>
      <c r="E363" s="7" t="s">
        <v>77</v>
      </c>
      <c r="F363" s="5"/>
      <c r="G363" s="5" t="s">
        <v>302</v>
      </c>
      <c r="H363" s="5">
        <v>4</v>
      </c>
      <c r="I363" s="8">
        <v>44835</v>
      </c>
      <c r="J363" s="8">
        <v>46295</v>
      </c>
      <c r="K363" s="5" t="s">
        <v>29</v>
      </c>
      <c r="L363" s="5" t="s">
        <v>35</v>
      </c>
      <c r="M363" s="60" t="s">
        <v>1539</v>
      </c>
      <c r="N363" s="21" t="s">
        <v>52</v>
      </c>
      <c r="O363" s="5" t="s">
        <v>64</v>
      </c>
      <c r="P363" s="28" t="s">
        <v>1540</v>
      </c>
      <c r="Q363" s="12"/>
      <c r="R363" s="5"/>
      <c r="S363" s="5"/>
      <c r="T363" s="5" t="s">
        <v>39</v>
      </c>
      <c r="U363" s="16">
        <v>36391</v>
      </c>
      <c r="V363" s="5" t="s">
        <v>1541</v>
      </c>
      <c r="W363" s="5" t="s">
        <v>40</v>
      </c>
      <c r="X363" s="6">
        <v>2022</v>
      </c>
      <c r="Y363" s="5" t="s">
        <v>94</v>
      </c>
    </row>
    <row r="364" spans="1:25" ht="13.8">
      <c r="A364" s="28" t="s">
        <v>1542</v>
      </c>
      <c r="B364" s="5" t="s">
        <v>26</v>
      </c>
      <c r="C364" s="5" t="s">
        <v>27</v>
      </c>
      <c r="D364" s="29">
        <v>113</v>
      </c>
      <c r="E364" s="30" t="s">
        <v>203</v>
      </c>
      <c r="F364" s="5"/>
      <c r="G364" s="13" t="s">
        <v>499</v>
      </c>
      <c r="H364" s="5">
        <v>3</v>
      </c>
      <c r="I364" s="8">
        <v>45200</v>
      </c>
      <c r="J364" s="8">
        <v>46660</v>
      </c>
      <c r="K364" s="5" t="s">
        <v>29</v>
      </c>
      <c r="L364" s="5" t="s">
        <v>35</v>
      </c>
      <c r="M364" s="13"/>
      <c r="N364" s="5" t="s">
        <v>85</v>
      </c>
      <c r="O364" s="5"/>
      <c r="P364" s="5" t="s">
        <v>1543</v>
      </c>
      <c r="Q364" s="12"/>
      <c r="R364" s="5"/>
      <c r="S364" s="5"/>
      <c r="T364" s="31" t="s">
        <v>39</v>
      </c>
      <c r="U364" s="33">
        <v>34006</v>
      </c>
      <c r="V364" s="5"/>
      <c r="W364" s="5"/>
      <c r="X364" s="5"/>
      <c r="Y364" s="5" t="s">
        <v>41</v>
      </c>
    </row>
    <row r="365" spans="1:25" ht="13.8">
      <c r="A365" s="31" t="s">
        <v>1544</v>
      </c>
      <c r="B365" s="5" t="s">
        <v>26</v>
      </c>
      <c r="C365" s="5" t="s">
        <v>27</v>
      </c>
      <c r="D365" s="5">
        <v>125</v>
      </c>
      <c r="E365" s="64" t="s">
        <v>104</v>
      </c>
      <c r="F365" s="5"/>
      <c r="G365" s="61" t="s">
        <v>747</v>
      </c>
      <c r="H365" s="61">
        <v>4</v>
      </c>
      <c r="I365" s="78">
        <v>44256</v>
      </c>
      <c r="J365" s="78">
        <v>46081</v>
      </c>
      <c r="K365" s="5" t="s">
        <v>29</v>
      </c>
      <c r="L365" s="5" t="s">
        <v>418</v>
      </c>
      <c r="M365" s="49" t="s">
        <v>1545</v>
      </c>
      <c r="N365" s="12" t="s">
        <v>1546</v>
      </c>
      <c r="O365" s="5" t="s">
        <v>1026</v>
      </c>
      <c r="P365" s="53"/>
      <c r="Q365" s="12"/>
      <c r="R365" s="5"/>
      <c r="S365" s="5" t="s">
        <v>1547</v>
      </c>
      <c r="T365" s="5" t="s">
        <v>39</v>
      </c>
      <c r="U365" s="48">
        <v>35880</v>
      </c>
      <c r="V365" s="5" t="s">
        <v>1548</v>
      </c>
      <c r="W365" s="5" t="s">
        <v>40</v>
      </c>
      <c r="X365" s="5">
        <v>2020</v>
      </c>
      <c r="Y365" s="5" t="s">
        <v>106</v>
      </c>
    </row>
    <row r="366" spans="1:25" ht="13.8">
      <c r="A366" s="5" t="s">
        <v>1549</v>
      </c>
      <c r="B366" s="5" t="s">
        <v>68</v>
      </c>
      <c r="C366" s="5" t="s">
        <v>1550</v>
      </c>
      <c r="D366" s="5">
        <v>122</v>
      </c>
      <c r="E366" s="7" t="s">
        <v>33</v>
      </c>
      <c r="F366" s="5"/>
      <c r="G366" s="37" t="s">
        <v>49</v>
      </c>
      <c r="H366" s="5"/>
      <c r="I366" s="8">
        <v>44835</v>
      </c>
      <c r="J366" s="8">
        <v>46295</v>
      </c>
      <c r="K366" s="5" t="s">
        <v>508</v>
      </c>
      <c r="L366" s="5" t="s">
        <v>50</v>
      </c>
      <c r="M366" s="28" t="s">
        <v>1551</v>
      </c>
      <c r="N366" s="21" t="s">
        <v>52</v>
      </c>
      <c r="O366" s="5"/>
      <c r="P366" s="53" t="s">
        <v>1444</v>
      </c>
      <c r="Q366" s="12"/>
      <c r="R366" s="5"/>
      <c r="S366" s="5" t="s">
        <v>1552</v>
      </c>
      <c r="T366" s="5" t="s">
        <v>57</v>
      </c>
      <c r="U366" s="16">
        <v>36328</v>
      </c>
      <c r="V366" s="6">
        <v>380997950554</v>
      </c>
      <c r="W366" s="5" t="s">
        <v>40</v>
      </c>
      <c r="X366" s="6">
        <v>2021</v>
      </c>
      <c r="Y366" s="5"/>
    </row>
    <row r="367" spans="1:25" ht="13.8">
      <c r="A367" s="13" t="s">
        <v>1553</v>
      </c>
      <c r="B367" s="5" t="s">
        <v>26</v>
      </c>
      <c r="C367" s="5" t="s">
        <v>27</v>
      </c>
      <c r="D367" s="5">
        <v>172</v>
      </c>
      <c r="E367" s="7" t="s">
        <v>278</v>
      </c>
      <c r="F367" s="5"/>
      <c r="G367" s="5" t="s">
        <v>1515</v>
      </c>
      <c r="H367" s="5">
        <v>3</v>
      </c>
      <c r="I367" s="8">
        <v>45047</v>
      </c>
      <c r="J367" s="8">
        <v>46507</v>
      </c>
      <c r="K367" s="5" t="s">
        <v>29</v>
      </c>
      <c r="L367" s="5" t="s">
        <v>35</v>
      </c>
      <c r="M367" s="60" t="s">
        <v>1554</v>
      </c>
      <c r="N367" s="12" t="s">
        <v>37</v>
      </c>
      <c r="O367" s="5"/>
      <c r="P367" s="72" t="s">
        <v>1555</v>
      </c>
      <c r="Q367" s="12"/>
      <c r="R367" s="5"/>
      <c r="S367" s="5"/>
      <c r="T367" s="5" t="s">
        <v>39</v>
      </c>
      <c r="U367" s="16">
        <v>33227</v>
      </c>
      <c r="V367" s="5">
        <v>953239967</v>
      </c>
      <c r="W367" s="5" t="s">
        <v>416</v>
      </c>
      <c r="X367" s="6">
        <v>2014</v>
      </c>
      <c r="Y367" s="5" t="s">
        <v>266</v>
      </c>
    </row>
    <row r="368" spans="1:25" ht="13.8">
      <c r="A368" s="13" t="s">
        <v>1556</v>
      </c>
      <c r="B368" s="5" t="s">
        <v>26</v>
      </c>
      <c r="C368" s="5" t="s">
        <v>27</v>
      </c>
      <c r="D368" s="6" t="s">
        <v>554</v>
      </c>
      <c r="E368" s="7"/>
      <c r="F368" s="5"/>
      <c r="G368" s="5"/>
      <c r="H368" s="5">
        <v>1</v>
      </c>
      <c r="I368" s="8">
        <v>45931</v>
      </c>
      <c r="J368" s="8">
        <v>47391</v>
      </c>
      <c r="K368" s="5" t="s">
        <v>29</v>
      </c>
      <c r="L368" s="5" t="s">
        <v>30</v>
      </c>
      <c r="M368" s="34" t="s">
        <v>1557</v>
      </c>
      <c r="N368" s="5" t="s">
        <v>45</v>
      </c>
      <c r="O368" s="5"/>
      <c r="P368" s="35"/>
      <c r="Q368" s="12"/>
      <c r="R368" s="5"/>
      <c r="S368" s="5"/>
      <c r="T368" s="5"/>
      <c r="U368" s="5"/>
      <c r="V368" s="5"/>
      <c r="W368" s="5"/>
      <c r="X368" s="5"/>
      <c r="Y368" s="5"/>
    </row>
    <row r="369" spans="1:25" ht="15">
      <c r="A369" s="5" t="s">
        <v>1558</v>
      </c>
      <c r="B369" s="5" t="s">
        <v>26</v>
      </c>
      <c r="C369" s="5" t="s">
        <v>118</v>
      </c>
      <c r="D369" s="5">
        <v>51</v>
      </c>
      <c r="E369" s="7" t="s">
        <v>192</v>
      </c>
      <c r="F369" s="5" t="s">
        <v>193</v>
      </c>
      <c r="G369" s="44" t="s">
        <v>1559</v>
      </c>
      <c r="H369" s="5">
        <v>2</v>
      </c>
      <c r="I369" s="8">
        <v>45566</v>
      </c>
      <c r="J369" s="9">
        <v>47026</v>
      </c>
      <c r="K369" s="5" t="s">
        <v>120</v>
      </c>
      <c r="L369" s="5" t="s">
        <v>35</v>
      </c>
      <c r="M369" s="5" t="s">
        <v>1560</v>
      </c>
      <c r="N369" s="5" t="s">
        <v>211</v>
      </c>
      <c r="O369" s="5"/>
      <c r="P369" s="44" t="s">
        <v>1561</v>
      </c>
      <c r="Q369" s="12"/>
      <c r="R369" s="5"/>
      <c r="S369" s="5"/>
      <c r="T369" s="5" t="s">
        <v>39</v>
      </c>
      <c r="U369" s="8">
        <v>27200</v>
      </c>
      <c r="V369" s="5"/>
      <c r="W369" s="5"/>
      <c r="X369" s="5"/>
      <c r="Y369" s="5"/>
    </row>
    <row r="370" spans="1:25" ht="21" customHeight="1">
      <c r="A370" s="13" t="s">
        <v>1562</v>
      </c>
      <c r="B370" s="5" t="s">
        <v>47</v>
      </c>
      <c r="C370" s="5" t="s">
        <v>27</v>
      </c>
      <c r="D370" s="5">
        <v>122</v>
      </c>
      <c r="E370" s="30" t="s">
        <v>124</v>
      </c>
      <c r="F370" s="5"/>
      <c r="G370" s="5" t="s">
        <v>606</v>
      </c>
      <c r="H370" s="5"/>
      <c r="I370" s="8">
        <v>45047</v>
      </c>
      <c r="J370" s="8">
        <v>45777</v>
      </c>
      <c r="K370" s="5" t="s">
        <v>29</v>
      </c>
      <c r="L370" s="5" t="s">
        <v>35</v>
      </c>
      <c r="M370" s="53" t="s">
        <v>1563</v>
      </c>
      <c r="N370" s="12" t="s">
        <v>37</v>
      </c>
      <c r="O370" s="5"/>
      <c r="P370" s="72" t="s">
        <v>1564</v>
      </c>
      <c r="Q370" s="12" t="s">
        <v>1565</v>
      </c>
      <c r="R370" s="5"/>
      <c r="S370" s="5"/>
      <c r="T370" s="5" t="s">
        <v>39</v>
      </c>
      <c r="U370" s="16">
        <v>36572</v>
      </c>
      <c r="V370" s="5">
        <v>982115297</v>
      </c>
      <c r="W370" s="5" t="s">
        <v>40</v>
      </c>
      <c r="X370" s="6">
        <v>2022</v>
      </c>
      <c r="Y370" s="5"/>
    </row>
    <row r="371" spans="1:25" ht="15">
      <c r="A371" s="5" t="s">
        <v>1566</v>
      </c>
      <c r="B371" s="5" t="s">
        <v>26</v>
      </c>
      <c r="C371" s="5" t="s">
        <v>118</v>
      </c>
      <c r="D371" s="5">
        <v>51</v>
      </c>
      <c r="E371" s="7" t="s">
        <v>192</v>
      </c>
      <c r="F371" s="5" t="s">
        <v>193</v>
      </c>
      <c r="G371" s="44" t="s">
        <v>1567</v>
      </c>
      <c r="H371" s="5">
        <v>2</v>
      </c>
      <c r="I371" s="8">
        <v>45566</v>
      </c>
      <c r="J371" s="9">
        <v>47026</v>
      </c>
      <c r="K371" s="5" t="s">
        <v>120</v>
      </c>
      <c r="L371" s="5" t="s">
        <v>35</v>
      </c>
      <c r="M371" s="5" t="s">
        <v>1568</v>
      </c>
      <c r="N371" s="5" t="s">
        <v>211</v>
      </c>
      <c r="O371" s="5"/>
      <c r="P371" s="44" t="s">
        <v>1569</v>
      </c>
      <c r="Q371" s="12"/>
      <c r="R371" s="5"/>
      <c r="S371" s="5"/>
      <c r="T371" s="5" t="s">
        <v>57</v>
      </c>
      <c r="U371" s="8">
        <v>30928</v>
      </c>
      <c r="V371" s="5"/>
      <c r="W371" s="5"/>
      <c r="X371" s="5"/>
      <c r="Y371" s="5"/>
    </row>
    <row r="372" spans="1:25" ht="13.8">
      <c r="A372" s="5" t="s">
        <v>1570</v>
      </c>
      <c r="B372" s="5" t="s">
        <v>26</v>
      </c>
      <c r="C372" s="5" t="s">
        <v>27</v>
      </c>
      <c r="D372" s="5">
        <v>122</v>
      </c>
      <c r="E372" s="7" t="s">
        <v>33</v>
      </c>
      <c r="F372" s="5"/>
      <c r="G372" s="5" t="s">
        <v>591</v>
      </c>
      <c r="H372" s="5">
        <v>4</v>
      </c>
      <c r="I372" s="8">
        <v>44835</v>
      </c>
      <c r="J372" s="8">
        <v>46295</v>
      </c>
      <c r="K372" s="5" t="s">
        <v>29</v>
      </c>
      <c r="L372" s="5" t="s">
        <v>35</v>
      </c>
      <c r="M372" s="28" t="s">
        <v>1571</v>
      </c>
      <c r="N372" s="21" t="s">
        <v>52</v>
      </c>
      <c r="O372" s="5" t="s">
        <v>64</v>
      </c>
      <c r="P372" s="53" t="s">
        <v>1572</v>
      </c>
      <c r="Q372" s="12"/>
      <c r="R372" s="5"/>
      <c r="S372" s="5"/>
      <c r="T372" s="5" t="s">
        <v>39</v>
      </c>
      <c r="U372" s="16">
        <v>28078</v>
      </c>
      <c r="V372" s="50" t="s">
        <v>1573</v>
      </c>
      <c r="W372" s="5" t="s">
        <v>416</v>
      </c>
      <c r="X372" s="6">
        <v>2000</v>
      </c>
      <c r="Y372" s="5" t="s">
        <v>41</v>
      </c>
    </row>
    <row r="373" spans="1:25" ht="13.8">
      <c r="A373" s="13" t="s">
        <v>1574</v>
      </c>
      <c r="B373" s="5" t="s">
        <v>26</v>
      </c>
      <c r="C373" s="5" t="s">
        <v>27</v>
      </c>
      <c r="D373" s="6" t="s">
        <v>385</v>
      </c>
      <c r="E373" s="7" t="s">
        <v>90</v>
      </c>
      <c r="F373" s="5"/>
      <c r="G373" s="5"/>
      <c r="H373" s="5">
        <v>1</v>
      </c>
      <c r="I373" s="8">
        <v>45931</v>
      </c>
      <c r="J373" s="8">
        <v>47391</v>
      </c>
      <c r="K373" s="5" t="s">
        <v>29</v>
      </c>
      <c r="L373" s="5" t="s">
        <v>30</v>
      </c>
      <c r="M373" s="93" t="s">
        <v>1575</v>
      </c>
      <c r="N373" s="5" t="s">
        <v>1201</v>
      </c>
      <c r="O373" s="5"/>
      <c r="P373" s="35"/>
      <c r="Q373" s="12"/>
      <c r="R373" s="5"/>
      <c r="S373" s="5"/>
      <c r="T373" s="5"/>
      <c r="U373" s="5"/>
      <c r="V373" s="5"/>
      <c r="W373" s="5"/>
      <c r="X373" s="5"/>
      <c r="Y373" s="5"/>
    </row>
    <row r="374" spans="1:25" ht="13.8">
      <c r="A374" s="5" t="s">
        <v>1576</v>
      </c>
      <c r="B374" s="5" t="s">
        <v>47</v>
      </c>
      <c r="C374" s="5" t="s">
        <v>27</v>
      </c>
      <c r="D374" s="5">
        <v>123</v>
      </c>
      <c r="E374" s="7" t="s">
        <v>80</v>
      </c>
      <c r="F374" s="5" t="s">
        <v>81</v>
      </c>
      <c r="G374" s="5" t="s">
        <v>198</v>
      </c>
      <c r="H374" s="6"/>
      <c r="I374" s="8">
        <v>44105</v>
      </c>
      <c r="J374" s="8">
        <v>45929</v>
      </c>
      <c r="K374" s="5" t="s">
        <v>29</v>
      </c>
      <c r="L374" s="5" t="s">
        <v>30</v>
      </c>
      <c r="M374" s="13" t="s">
        <v>1577</v>
      </c>
      <c r="N374" s="5" t="s">
        <v>150</v>
      </c>
      <c r="O374" s="5" t="s">
        <v>151</v>
      </c>
      <c r="P374" s="53"/>
      <c r="Q374" s="12" t="s">
        <v>664</v>
      </c>
      <c r="R374" s="5" t="s">
        <v>1396</v>
      </c>
      <c r="S374" s="5" t="s">
        <v>1578</v>
      </c>
      <c r="T374" s="5" t="s">
        <v>57</v>
      </c>
      <c r="U374" s="8">
        <v>35712</v>
      </c>
      <c r="V374" s="5"/>
      <c r="W374" s="5"/>
      <c r="X374" s="5"/>
      <c r="Y374" s="5"/>
    </row>
    <row r="375" spans="1:25" ht="13.8">
      <c r="A375" s="13" t="s">
        <v>1579</v>
      </c>
      <c r="B375" s="5" t="s">
        <v>26</v>
      </c>
      <c r="C375" s="5" t="s">
        <v>27</v>
      </c>
      <c r="D375" s="6" t="s">
        <v>76</v>
      </c>
      <c r="E375" s="7" t="s">
        <v>77</v>
      </c>
      <c r="F375" s="5"/>
      <c r="G375" s="5"/>
      <c r="H375" s="5">
        <v>1</v>
      </c>
      <c r="I375" s="8">
        <v>45931</v>
      </c>
      <c r="J375" s="8">
        <v>47391</v>
      </c>
      <c r="K375" s="5" t="s">
        <v>29</v>
      </c>
      <c r="L375" s="5" t="s">
        <v>30</v>
      </c>
      <c r="M375" s="34" t="s">
        <v>1580</v>
      </c>
      <c r="N375" s="5" t="s">
        <v>1201</v>
      </c>
      <c r="O375" s="5"/>
      <c r="P375" s="35"/>
      <c r="Q375" s="12"/>
      <c r="R375" s="5"/>
      <c r="S375" s="5"/>
      <c r="T375" s="5"/>
      <c r="U375" s="5"/>
      <c r="V375" s="5"/>
      <c r="W375" s="5"/>
      <c r="X375" s="5"/>
      <c r="Y375" s="5"/>
    </row>
    <row r="376" spans="1:25" ht="27.6">
      <c r="A376" s="5" t="s">
        <v>1581</v>
      </c>
      <c r="B376" s="5" t="s">
        <v>47</v>
      </c>
      <c r="C376" s="5" t="s">
        <v>27</v>
      </c>
      <c r="D376" s="5">
        <v>126</v>
      </c>
      <c r="E376" s="7" t="s">
        <v>80</v>
      </c>
      <c r="F376" s="5" t="s">
        <v>81</v>
      </c>
      <c r="G376" s="5" t="s">
        <v>1300</v>
      </c>
      <c r="H376" s="5"/>
      <c r="I376" s="48">
        <v>44470</v>
      </c>
      <c r="J376" s="48">
        <v>45848</v>
      </c>
      <c r="K376" s="5" t="s">
        <v>29</v>
      </c>
      <c r="L376" s="5" t="s">
        <v>30</v>
      </c>
      <c r="M376" s="49" t="s">
        <v>1582</v>
      </c>
      <c r="N376" s="12" t="s">
        <v>270</v>
      </c>
      <c r="O376" s="5" t="s">
        <v>271</v>
      </c>
      <c r="P376" s="53" t="s">
        <v>1583</v>
      </c>
      <c r="Q376" s="12" t="s">
        <v>1584</v>
      </c>
      <c r="R376" s="5"/>
      <c r="S376" s="5"/>
      <c r="T376" s="5" t="s">
        <v>39</v>
      </c>
      <c r="U376" s="48">
        <v>36074</v>
      </c>
      <c r="V376" s="50" t="s">
        <v>1585</v>
      </c>
      <c r="W376" s="5" t="s">
        <v>40</v>
      </c>
      <c r="X376" s="5">
        <v>2021</v>
      </c>
      <c r="Y376" s="5"/>
    </row>
    <row r="377" spans="1:25" ht="13.8">
      <c r="A377" s="5" t="s">
        <v>1586</v>
      </c>
      <c r="B377" s="5" t="s">
        <v>26</v>
      </c>
      <c r="C377" s="5" t="s">
        <v>27</v>
      </c>
      <c r="D377" s="5">
        <v>151</v>
      </c>
      <c r="E377" s="7" t="s">
        <v>138</v>
      </c>
      <c r="F377" s="5" t="s">
        <v>139</v>
      </c>
      <c r="G377" s="5" t="s">
        <v>813</v>
      </c>
      <c r="H377" s="5">
        <v>4</v>
      </c>
      <c r="I377" s="8">
        <v>44835</v>
      </c>
      <c r="J377" s="8">
        <v>46295</v>
      </c>
      <c r="K377" s="5" t="s">
        <v>29</v>
      </c>
      <c r="L377" s="5" t="s">
        <v>50</v>
      </c>
      <c r="M377" s="60" t="s">
        <v>1587</v>
      </c>
      <c r="N377" s="21" t="s">
        <v>52</v>
      </c>
      <c r="O377" s="5" t="s">
        <v>64</v>
      </c>
      <c r="P377" s="28" t="s">
        <v>1588</v>
      </c>
      <c r="Q377" s="12"/>
      <c r="R377" s="5"/>
      <c r="S377" s="5"/>
      <c r="T377" s="5" t="s">
        <v>39</v>
      </c>
      <c r="U377" s="16">
        <v>36274</v>
      </c>
      <c r="V377" s="6">
        <v>380507756258</v>
      </c>
      <c r="W377" s="5" t="s">
        <v>40</v>
      </c>
      <c r="X377" s="6">
        <v>2021</v>
      </c>
      <c r="Y377" s="5"/>
    </row>
    <row r="378" spans="1:25" ht="15">
      <c r="A378" s="5" t="s">
        <v>1589</v>
      </c>
      <c r="B378" s="5" t="s">
        <v>26</v>
      </c>
      <c r="C378" s="5" t="s">
        <v>27</v>
      </c>
      <c r="D378" s="5">
        <v>163</v>
      </c>
      <c r="E378" s="7" t="s">
        <v>90</v>
      </c>
      <c r="F378" s="5"/>
      <c r="G378" s="5" t="s">
        <v>468</v>
      </c>
      <c r="H378" s="5">
        <v>2</v>
      </c>
      <c r="I378" s="8">
        <v>45566</v>
      </c>
      <c r="J378" s="9">
        <v>47026</v>
      </c>
      <c r="K378" s="5" t="s">
        <v>29</v>
      </c>
      <c r="L378" s="5" t="s">
        <v>141</v>
      </c>
      <c r="M378" s="5" t="s">
        <v>1590</v>
      </c>
      <c r="N378" s="5" t="s">
        <v>143</v>
      </c>
      <c r="O378" s="5"/>
      <c r="P378" s="44" t="s">
        <v>1591</v>
      </c>
      <c r="Q378" s="12"/>
      <c r="R378" s="5"/>
      <c r="S378" s="5"/>
      <c r="T378" s="5" t="s">
        <v>39</v>
      </c>
      <c r="U378" s="8">
        <v>33742</v>
      </c>
      <c r="V378" s="5"/>
      <c r="W378" s="5"/>
      <c r="X378" s="5"/>
      <c r="Y378" s="5" t="s">
        <v>94</v>
      </c>
    </row>
    <row r="379" spans="1:25" ht="15">
      <c r="A379" s="5" t="s">
        <v>1592</v>
      </c>
      <c r="B379" s="5" t="s">
        <v>26</v>
      </c>
      <c r="C379" s="5" t="s">
        <v>27</v>
      </c>
      <c r="D379" s="5">
        <v>172</v>
      </c>
      <c r="E379" s="7" t="s">
        <v>1593</v>
      </c>
      <c r="F379" s="5" t="s">
        <v>1594</v>
      </c>
      <c r="G379" s="5" t="s">
        <v>1595</v>
      </c>
      <c r="H379" s="5">
        <v>2</v>
      </c>
      <c r="I379" s="8">
        <v>45566</v>
      </c>
      <c r="J379" s="9">
        <v>47026</v>
      </c>
      <c r="K379" s="5" t="s">
        <v>29</v>
      </c>
      <c r="L379" s="5" t="s">
        <v>141</v>
      </c>
      <c r="M379" s="5" t="s">
        <v>1596</v>
      </c>
      <c r="N379" s="5" t="s">
        <v>143</v>
      </c>
      <c r="O379" s="5"/>
      <c r="P379" s="44" t="s">
        <v>1597</v>
      </c>
      <c r="Q379" s="12"/>
      <c r="R379" s="5"/>
      <c r="S379" s="5"/>
      <c r="T379" s="5" t="s">
        <v>39</v>
      </c>
      <c r="U379" s="8">
        <v>36936</v>
      </c>
      <c r="V379" s="5"/>
      <c r="W379" s="5"/>
      <c r="X379" s="5"/>
      <c r="Y379" s="5"/>
    </row>
    <row r="380" spans="1:25" ht="13.8">
      <c r="A380" s="5" t="s">
        <v>1598</v>
      </c>
      <c r="B380" s="5" t="s">
        <v>26</v>
      </c>
      <c r="C380" s="5" t="s">
        <v>27</v>
      </c>
      <c r="D380" s="5">
        <v>121</v>
      </c>
      <c r="E380" s="7" t="s">
        <v>77</v>
      </c>
      <c r="F380" s="5"/>
      <c r="G380" s="5" t="s">
        <v>226</v>
      </c>
      <c r="H380" s="5">
        <v>4</v>
      </c>
      <c r="I380" s="8">
        <v>44835</v>
      </c>
      <c r="J380" s="8">
        <v>46295</v>
      </c>
      <c r="K380" s="5" t="s">
        <v>29</v>
      </c>
      <c r="L380" s="5" t="s">
        <v>35</v>
      </c>
      <c r="M380" s="60" t="s">
        <v>1599</v>
      </c>
      <c r="N380" s="21" t="s">
        <v>52</v>
      </c>
      <c r="O380" s="5" t="s">
        <v>64</v>
      </c>
      <c r="P380" s="28" t="s">
        <v>1600</v>
      </c>
      <c r="Q380" s="12"/>
      <c r="R380" s="5"/>
      <c r="S380" s="5"/>
      <c r="T380" s="5" t="s">
        <v>39</v>
      </c>
      <c r="U380" s="16">
        <v>36252</v>
      </c>
      <c r="V380" s="5" t="s">
        <v>1601</v>
      </c>
      <c r="W380" s="5" t="s">
        <v>40</v>
      </c>
      <c r="X380" s="6">
        <v>2021</v>
      </c>
      <c r="Y380" s="5" t="s">
        <v>94</v>
      </c>
    </row>
    <row r="381" spans="1:25" ht="13.8">
      <c r="A381" s="5" t="s">
        <v>1602</v>
      </c>
      <c r="B381" s="5" t="s">
        <v>26</v>
      </c>
      <c r="C381" s="5" t="s">
        <v>27</v>
      </c>
      <c r="D381" s="5">
        <v>172</v>
      </c>
      <c r="E381" s="7" t="s">
        <v>180</v>
      </c>
      <c r="F381" s="5" t="s">
        <v>181</v>
      </c>
      <c r="G381" s="5" t="s">
        <v>1502</v>
      </c>
      <c r="H381" s="5">
        <v>1</v>
      </c>
      <c r="I381" s="8">
        <v>45594</v>
      </c>
      <c r="J381" s="36">
        <v>47054</v>
      </c>
      <c r="K381" s="5" t="s">
        <v>83</v>
      </c>
      <c r="L381" s="5" t="s">
        <v>35</v>
      </c>
      <c r="M381" s="94" t="s">
        <v>1603</v>
      </c>
      <c r="N381" s="5" t="s">
        <v>1535</v>
      </c>
      <c r="O381" s="5"/>
      <c r="P381" s="35"/>
      <c r="Q381" s="12"/>
      <c r="R381" s="5"/>
      <c r="S381" s="5"/>
      <c r="T381" s="5"/>
      <c r="U381" s="5"/>
      <c r="V381" s="5"/>
      <c r="W381" s="5"/>
      <c r="X381" s="5"/>
      <c r="Y381" s="5"/>
    </row>
    <row r="382" spans="1:25" ht="13.8">
      <c r="A382" s="5" t="s">
        <v>1604</v>
      </c>
      <c r="B382" s="5" t="s">
        <v>26</v>
      </c>
      <c r="C382" s="5" t="s">
        <v>27</v>
      </c>
      <c r="D382" s="5">
        <v>125</v>
      </c>
      <c r="E382" s="7" t="s">
        <v>104</v>
      </c>
      <c r="F382" s="5" t="s">
        <v>477</v>
      </c>
      <c r="G382" s="5" t="s">
        <v>632</v>
      </c>
      <c r="H382" s="5">
        <v>4</v>
      </c>
      <c r="I382" s="8">
        <v>44835</v>
      </c>
      <c r="J382" s="8">
        <v>46295</v>
      </c>
      <c r="K382" s="5" t="s">
        <v>29</v>
      </c>
      <c r="L382" s="5" t="s">
        <v>35</v>
      </c>
      <c r="M382" s="60" t="s">
        <v>1605</v>
      </c>
      <c r="N382" s="21" t="s">
        <v>52</v>
      </c>
      <c r="O382" s="5" t="s">
        <v>64</v>
      </c>
      <c r="P382" s="53" t="s">
        <v>1606</v>
      </c>
      <c r="Q382" s="12"/>
      <c r="R382" s="5"/>
      <c r="S382" s="5"/>
      <c r="T382" s="5" t="s">
        <v>39</v>
      </c>
      <c r="U382" s="16">
        <v>36102</v>
      </c>
      <c r="V382" s="5" t="s">
        <v>1607</v>
      </c>
      <c r="W382" s="5" t="s">
        <v>40</v>
      </c>
      <c r="X382" s="6">
        <v>2021</v>
      </c>
      <c r="Y382" s="5" t="s">
        <v>106</v>
      </c>
    </row>
    <row r="383" spans="1:25" ht="13.8">
      <c r="A383" s="5" t="s">
        <v>1608</v>
      </c>
      <c r="B383" s="5" t="s">
        <v>26</v>
      </c>
      <c r="C383" s="5" t="s">
        <v>27</v>
      </c>
      <c r="D383" s="5">
        <v>123</v>
      </c>
      <c r="E383" s="7" t="s">
        <v>108</v>
      </c>
      <c r="F383" s="5" t="s">
        <v>250</v>
      </c>
      <c r="G383" s="5" t="s">
        <v>1138</v>
      </c>
      <c r="H383" s="5">
        <v>4</v>
      </c>
      <c r="I383" s="48">
        <v>44470</v>
      </c>
      <c r="J383" s="48">
        <v>46173</v>
      </c>
      <c r="K383" s="5" t="s">
        <v>29</v>
      </c>
      <c r="L383" s="5" t="s">
        <v>418</v>
      </c>
      <c r="M383" s="13" t="s">
        <v>1609</v>
      </c>
      <c r="N383" s="12" t="s">
        <v>270</v>
      </c>
      <c r="O383" s="5" t="s">
        <v>64</v>
      </c>
      <c r="P383" s="53" t="s">
        <v>1610</v>
      </c>
      <c r="Q383" s="12"/>
      <c r="R383" s="5"/>
      <c r="S383" s="5" t="s">
        <v>1611</v>
      </c>
      <c r="T383" s="5" t="s">
        <v>39</v>
      </c>
      <c r="U383" s="48">
        <v>29251</v>
      </c>
      <c r="V383" s="6">
        <v>997011249</v>
      </c>
      <c r="W383" s="5" t="s">
        <v>1612</v>
      </c>
      <c r="X383" s="5">
        <v>2019</v>
      </c>
      <c r="Y383" s="5" t="s">
        <v>112</v>
      </c>
    </row>
    <row r="384" spans="1:25" ht="13.8">
      <c r="A384" s="13" t="s">
        <v>1613</v>
      </c>
      <c r="B384" s="5" t="s">
        <v>26</v>
      </c>
      <c r="C384" s="5" t="s">
        <v>27</v>
      </c>
      <c r="D384" s="6" t="s">
        <v>76</v>
      </c>
      <c r="E384" s="7" t="s">
        <v>77</v>
      </c>
      <c r="F384" s="5"/>
      <c r="G384" s="5"/>
      <c r="H384" s="5">
        <v>1</v>
      </c>
      <c r="I384" s="8">
        <v>45931</v>
      </c>
      <c r="J384" s="8">
        <v>47391</v>
      </c>
      <c r="K384" s="5" t="s">
        <v>29</v>
      </c>
      <c r="L384" s="5" t="s">
        <v>30</v>
      </c>
      <c r="M384" s="34" t="s">
        <v>1614</v>
      </c>
      <c r="N384" s="5" t="s">
        <v>1201</v>
      </c>
      <c r="O384" s="5"/>
      <c r="P384" s="35"/>
      <c r="Q384" s="12"/>
      <c r="R384" s="5"/>
      <c r="S384" s="5"/>
      <c r="T384" s="5"/>
      <c r="U384" s="5"/>
      <c r="V384" s="5"/>
      <c r="W384" s="5"/>
      <c r="X384" s="5"/>
      <c r="Y384" s="5"/>
    </row>
    <row r="385" spans="1:25" ht="13.8">
      <c r="A385" s="28" t="s">
        <v>1615</v>
      </c>
      <c r="B385" s="5" t="s">
        <v>26</v>
      </c>
      <c r="C385" s="5" t="s">
        <v>27</v>
      </c>
      <c r="D385" s="29">
        <v>126</v>
      </c>
      <c r="E385" s="30" t="s">
        <v>80</v>
      </c>
      <c r="F385" s="5" t="s">
        <v>81</v>
      </c>
      <c r="G385" s="13" t="s">
        <v>1616</v>
      </c>
      <c r="H385" s="5">
        <v>3</v>
      </c>
      <c r="I385" s="8">
        <v>45200</v>
      </c>
      <c r="J385" s="8">
        <v>46660</v>
      </c>
      <c r="K385" s="5" t="s">
        <v>508</v>
      </c>
      <c r="L385" s="5" t="s">
        <v>50</v>
      </c>
      <c r="M385" s="60" t="s">
        <v>1617</v>
      </c>
      <c r="N385" s="5" t="s">
        <v>85</v>
      </c>
      <c r="O385" s="5"/>
      <c r="P385" s="5" t="s">
        <v>1618</v>
      </c>
      <c r="Q385" s="12"/>
      <c r="R385" s="5"/>
      <c r="S385" s="5"/>
      <c r="T385" s="31" t="s">
        <v>39</v>
      </c>
      <c r="U385" s="33">
        <v>28753</v>
      </c>
      <c r="V385" s="5"/>
      <c r="W385" s="5"/>
      <c r="X385" s="5"/>
      <c r="Y385" s="5" t="s">
        <v>88</v>
      </c>
    </row>
    <row r="386" spans="1:25" ht="13.8">
      <c r="A386" s="13" t="s">
        <v>1619</v>
      </c>
      <c r="B386" s="5" t="s">
        <v>26</v>
      </c>
      <c r="C386" s="5" t="s">
        <v>27</v>
      </c>
      <c r="D386" s="5">
        <v>175</v>
      </c>
      <c r="E386" s="7" t="s">
        <v>146</v>
      </c>
      <c r="F386" s="5" t="s">
        <v>378</v>
      </c>
      <c r="G386" s="5" t="s">
        <v>147</v>
      </c>
      <c r="H386" s="5">
        <v>3</v>
      </c>
      <c r="I386" s="8">
        <v>45047</v>
      </c>
      <c r="J386" s="8">
        <v>46507</v>
      </c>
      <c r="K386" s="5" t="s">
        <v>29</v>
      </c>
      <c r="L386" s="5" t="s">
        <v>35</v>
      </c>
      <c r="M386" s="60" t="s">
        <v>1620</v>
      </c>
      <c r="N386" s="12" t="s">
        <v>37</v>
      </c>
      <c r="O386" s="5"/>
      <c r="P386" s="72" t="s">
        <v>1621</v>
      </c>
      <c r="Q386" s="12"/>
      <c r="R386" s="5"/>
      <c r="S386" s="5"/>
      <c r="T386" s="5" t="s">
        <v>39</v>
      </c>
      <c r="U386" s="16">
        <v>32178</v>
      </c>
      <c r="V386" s="5">
        <f>380930272195</f>
        <v>380930272195</v>
      </c>
      <c r="W386" s="5" t="s">
        <v>561</v>
      </c>
      <c r="X386" s="6">
        <v>2010</v>
      </c>
      <c r="Y386" s="5"/>
    </row>
    <row r="387" spans="1:25" ht="15">
      <c r="A387" s="5" t="s">
        <v>1622</v>
      </c>
      <c r="B387" s="5" t="s">
        <v>26</v>
      </c>
      <c r="C387" s="5" t="s">
        <v>27</v>
      </c>
      <c r="D387" s="5">
        <v>175</v>
      </c>
      <c r="E387" s="7" t="s">
        <v>146</v>
      </c>
      <c r="F387" s="85" t="s">
        <v>717</v>
      </c>
      <c r="G387" s="5" t="s">
        <v>147</v>
      </c>
      <c r="H387" s="5">
        <v>2</v>
      </c>
      <c r="I387" s="8">
        <v>45566</v>
      </c>
      <c r="J387" s="9">
        <v>47026</v>
      </c>
      <c r="K387" s="5" t="s">
        <v>29</v>
      </c>
      <c r="L387" s="5" t="s">
        <v>141</v>
      </c>
      <c r="M387" s="5" t="s">
        <v>1623</v>
      </c>
      <c r="N387" s="5" t="s">
        <v>143</v>
      </c>
      <c r="O387" s="5"/>
      <c r="P387" s="44" t="s">
        <v>1624</v>
      </c>
      <c r="Q387" s="12"/>
      <c r="R387" s="5"/>
      <c r="S387" s="5"/>
      <c r="T387" s="5" t="s">
        <v>39</v>
      </c>
      <c r="U387" s="36">
        <v>27015</v>
      </c>
      <c r="V387" s="5"/>
      <c r="W387" s="5"/>
      <c r="X387" s="5"/>
      <c r="Y387" s="5"/>
    </row>
    <row r="388" spans="1:25" ht="13.8">
      <c r="A388" s="13" t="s">
        <v>1625</v>
      </c>
      <c r="B388" s="5" t="s">
        <v>26</v>
      </c>
      <c r="C388" s="5" t="s">
        <v>27</v>
      </c>
      <c r="D388" s="5">
        <v>123</v>
      </c>
      <c r="E388" s="7" t="s">
        <v>80</v>
      </c>
      <c r="F388" s="5" t="s">
        <v>327</v>
      </c>
      <c r="G388" s="5" t="s">
        <v>82</v>
      </c>
      <c r="H388" s="5">
        <v>3</v>
      </c>
      <c r="I388" s="8">
        <v>45047</v>
      </c>
      <c r="J388" s="8">
        <v>46507</v>
      </c>
      <c r="K388" s="5" t="s">
        <v>29</v>
      </c>
      <c r="L388" s="5" t="s">
        <v>35</v>
      </c>
      <c r="M388" s="53" t="s">
        <v>1626</v>
      </c>
      <c r="N388" s="12" t="s">
        <v>37</v>
      </c>
      <c r="O388" s="5"/>
      <c r="P388" s="72" t="s">
        <v>1627</v>
      </c>
      <c r="Q388" s="12"/>
      <c r="R388" s="5"/>
      <c r="S388" s="5" t="s">
        <v>1628</v>
      </c>
      <c r="T388" s="5" t="s">
        <v>39</v>
      </c>
      <c r="U388" s="16">
        <v>32414</v>
      </c>
      <c r="V388" s="5">
        <v>662433413</v>
      </c>
      <c r="W388" s="5" t="s">
        <v>40</v>
      </c>
      <c r="X388" s="6">
        <v>2010</v>
      </c>
      <c r="Y388" s="5" t="s">
        <v>88</v>
      </c>
    </row>
    <row r="389" spans="1:25" ht="15">
      <c r="A389" s="5" t="s">
        <v>1629</v>
      </c>
      <c r="B389" s="5" t="s">
        <v>26</v>
      </c>
      <c r="C389" s="5" t="s">
        <v>27</v>
      </c>
      <c r="D389" s="5">
        <v>126</v>
      </c>
      <c r="E389" s="7" t="s">
        <v>80</v>
      </c>
      <c r="F389" s="5" t="s">
        <v>81</v>
      </c>
      <c r="G389" s="5" t="s">
        <v>740</v>
      </c>
      <c r="H389" s="5">
        <v>2</v>
      </c>
      <c r="I389" s="8">
        <v>45566</v>
      </c>
      <c r="J389" s="9">
        <v>47026</v>
      </c>
      <c r="K389" s="5" t="s">
        <v>29</v>
      </c>
      <c r="L389" s="5" t="s">
        <v>141</v>
      </c>
      <c r="M389" s="5" t="s">
        <v>1630</v>
      </c>
      <c r="N389" s="5" t="s">
        <v>143</v>
      </c>
      <c r="O389" s="5"/>
      <c r="P389" s="44" t="s">
        <v>1631</v>
      </c>
      <c r="Q389" s="12"/>
      <c r="R389" s="5"/>
      <c r="S389" s="5"/>
      <c r="T389" s="5" t="s">
        <v>39</v>
      </c>
      <c r="U389" s="8">
        <v>36795</v>
      </c>
      <c r="V389" s="5"/>
      <c r="W389" s="5"/>
      <c r="X389" s="5"/>
      <c r="Y389" s="5" t="s">
        <v>88</v>
      </c>
    </row>
    <row r="390" spans="1:25" ht="27.6">
      <c r="A390" s="28" t="s">
        <v>1632</v>
      </c>
      <c r="B390" s="5" t="s">
        <v>47</v>
      </c>
      <c r="C390" s="5" t="s">
        <v>27</v>
      </c>
      <c r="D390" s="29">
        <v>121</v>
      </c>
      <c r="E390" s="30" t="s">
        <v>77</v>
      </c>
      <c r="F390" s="5"/>
      <c r="G390" s="13" t="s">
        <v>1498</v>
      </c>
      <c r="H390" s="5"/>
      <c r="I390" s="8">
        <v>45200</v>
      </c>
      <c r="J390" s="8">
        <v>45716</v>
      </c>
      <c r="K390" s="5" t="s">
        <v>29</v>
      </c>
      <c r="L390" s="5" t="s">
        <v>35</v>
      </c>
      <c r="M390" s="13" t="s">
        <v>1633</v>
      </c>
      <c r="N390" s="5" t="s">
        <v>85</v>
      </c>
      <c r="O390" s="5"/>
      <c r="P390" s="5" t="s">
        <v>1634</v>
      </c>
      <c r="Q390" s="12" t="s">
        <v>1635</v>
      </c>
      <c r="R390" s="5"/>
      <c r="S390" s="5"/>
      <c r="T390" s="31" t="s">
        <v>39</v>
      </c>
      <c r="U390" s="33">
        <v>36433</v>
      </c>
      <c r="V390" s="5"/>
      <c r="W390" s="5"/>
      <c r="X390" s="5"/>
      <c r="Y390" s="5"/>
    </row>
    <row r="391" spans="1:25" ht="13.8">
      <c r="A391" s="5" t="s">
        <v>1636</v>
      </c>
      <c r="B391" s="5" t="s">
        <v>26</v>
      </c>
      <c r="C391" s="5" t="s">
        <v>27</v>
      </c>
      <c r="D391" s="5">
        <v>172</v>
      </c>
      <c r="E391" s="7" t="s">
        <v>180</v>
      </c>
      <c r="F391" s="5" t="s">
        <v>181</v>
      </c>
      <c r="G391" s="5" t="s">
        <v>462</v>
      </c>
      <c r="H391" s="5">
        <v>4</v>
      </c>
      <c r="I391" s="8">
        <v>44835</v>
      </c>
      <c r="J391" s="8">
        <v>46295</v>
      </c>
      <c r="K391" s="5" t="s">
        <v>29</v>
      </c>
      <c r="L391" s="5" t="s">
        <v>50</v>
      </c>
      <c r="M391" s="53" t="s">
        <v>1637</v>
      </c>
      <c r="N391" s="21" t="s">
        <v>52</v>
      </c>
      <c r="O391" s="5" t="s">
        <v>64</v>
      </c>
      <c r="P391" s="53" t="s">
        <v>1638</v>
      </c>
      <c r="Q391" s="12"/>
      <c r="R391" s="5"/>
      <c r="S391" s="5"/>
      <c r="T391" s="5" t="s">
        <v>39</v>
      </c>
      <c r="U391" s="16">
        <v>34110</v>
      </c>
      <c r="V391" s="50" t="s">
        <v>1639</v>
      </c>
      <c r="W391" s="5" t="s">
        <v>40</v>
      </c>
      <c r="X391" s="6">
        <v>2021</v>
      </c>
      <c r="Y391" s="5"/>
    </row>
    <row r="392" spans="1:25" ht="13.8">
      <c r="A392" s="5" t="s">
        <v>1640</v>
      </c>
      <c r="B392" s="5" t="s">
        <v>26</v>
      </c>
      <c r="C392" s="5" t="s">
        <v>27</v>
      </c>
      <c r="D392" s="5">
        <v>121</v>
      </c>
      <c r="E392" s="7" t="s">
        <v>77</v>
      </c>
      <c r="F392" s="5"/>
      <c r="G392" s="5" t="s">
        <v>1065</v>
      </c>
      <c r="H392" s="5">
        <v>4</v>
      </c>
      <c r="I392" s="8">
        <v>44835</v>
      </c>
      <c r="J392" s="8">
        <v>46295</v>
      </c>
      <c r="K392" s="5" t="s">
        <v>29</v>
      </c>
      <c r="L392" s="5" t="s">
        <v>35</v>
      </c>
      <c r="M392" s="28" t="s">
        <v>1641</v>
      </c>
      <c r="N392" s="21" t="s">
        <v>52</v>
      </c>
      <c r="O392" s="5" t="s">
        <v>64</v>
      </c>
      <c r="P392" s="28" t="s">
        <v>1642</v>
      </c>
      <c r="Q392" s="12"/>
      <c r="R392" s="5"/>
      <c r="S392" s="5"/>
      <c r="T392" s="5" t="s">
        <v>39</v>
      </c>
      <c r="U392" s="16">
        <v>28990</v>
      </c>
      <c r="V392" s="5" t="s">
        <v>1643</v>
      </c>
      <c r="W392" s="5" t="s">
        <v>40</v>
      </c>
      <c r="X392" s="6">
        <v>2001</v>
      </c>
      <c r="Y392" s="5" t="s">
        <v>94</v>
      </c>
    </row>
    <row r="393" spans="1:25" ht="15">
      <c r="A393" s="5" t="s">
        <v>1644</v>
      </c>
      <c r="B393" s="5" t="s">
        <v>26</v>
      </c>
      <c r="C393" s="5" t="s">
        <v>27</v>
      </c>
      <c r="D393" s="5">
        <v>123</v>
      </c>
      <c r="E393" s="7" t="s">
        <v>80</v>
      </c>
      <c r="F393" s="5" t="s">
        <v>81</v>
      </c>
      <c r="G393" s="5" t="s">
        <v>1645</v>
      </c>
      <c r="H393" s="5">
        <v>2</v>
      </c>
      <c r="I393" s="8">
        <v>45566</v>
      </c>
      <c r="J393" s="9">
        <v>47026</v>
      </c>
      <c r="K393" s="5" t="s">
        <v>29</v>
      </c>
      <c r="L393" s="5" t="s">
        <v>141</v>
      </c>
      <c r="M393" s="5" t="s">
        <v>1646</v>
      </c>
      <c r="N393" s="5" t="s">
        <v>143</v>
      </c>
      <c r="O393" s="5"/>
      <c r="P393" s="44" t="s">
        <v>1647</v>
      </c>
      <c r="Q393" s="12"/>
      <c r="R393" s="5"/>
      <c r="S393" s="5"/>
      <c r="T393" s="5" t="s">
        <v>39</v>
      </c>
      <c r="U393" s="8">
        <v>36598</v>
      </c>
      <c r="V393" s="5"/>
      <c r="W393" s="5"/>
      <c r="X393" s="5"/>
      <c r="Y393" s="5" t="s">
        <v>88</v>
      </c>
    </row>
    <row r="394" spans="1:25" ht="13.8">
      <c r="A394" s="5" t="s">
        <v>1648</v>
      </c>
      <c r="B394" s="5" t="s">
        <v>47</v>
      </c>
      <c r="C394" s="5" t="s">
        <v>27</v>
      </c>
      <c r="D394" s="5">
        <v>121</v>
      </c>
      <c r="E394" s="7" t="s">
        <v>77</v>
      </c>
      <c r="F394" s="5"/>
      <c r="G394" s="5" t="s">
        <v>871</v>
      </c>
      <c r="H394" s="5"/>
      <c r="I394" s="48">
        <v>44470</v>
      </c>
      <c r="J394" s="48">
        <v>45929</v>
      </c>
      <c r="K394" s="5" t="s">
        <v>29</v>
      </c>
      <c r="L394" s="5" t="s">
        <v>418</v>
      </c>
      <c r="M394" s="49" t="s">
        <v>1649</v>
      </c>
      <c r="N394" s="12" t="s">
        <v>270</v>
      </c>
      <c r="O394" s="5" t="s">
        <v>271</v>
      </c>
      <c r="P394" s="53" t="s">
        <v>1650</v>
      </c>
      <c r="Q394" s="12" t="s">
        <v>664</v>
      </c>
      <c r="R394" s="5" t="s">
        <v>492</v>
      </c>
      <c r="S394" s="5"/>
      <c r="T394" s="5" t="s">
        <v>39</v>
      </c>
      <c r="U394" s="48">
        <v>35800</v>
      </c>
      <c r="V394" s="5" t="s">
        <v>1651</v>
      </c>
      <c r="W394" s="5" t="s">
        <v>40</v>
      </c>
      <c r="X394" s="5">
        <v>2021</v>
      </c>
      <c r="Y394" s="5"/>
    </row>
    <row r="395" spans="1:25" ht="27.6">
      <c r="A395" s="5" t="s">
        <v>1652</v>
      </c>
      <c r="B395" s="5" t="s">
        <v>47</v>
      </c>
      <c r="C395" s="5" t="s">
        <v>1653</v>
      </c>
      <c r="D395" s="5">
        <v>172</v>
      </c>
      <c r="E395" s="7" t="s">
        <v>278</v>
      </c>
      <c r="F395" s="5"/>
      <c r="G395" s="5" t="s">
        <v>279</v>
      </c>
      <c r="H395" s="6"/>
      <c r="I395" s="8">
        <v>44105</v>
      </c>
      <c r="J395" s="8">
        <v>45688</v>
      </c>
      <c r="K395" s="5" t="s">
        <v>29</v>
      </c>
      <c r="L395" s="5" t="s">
        <v>30</v>
      </c>
      <c r="M395" s="13" t="s">
        <v>1654</v>
      </c>
      <c r="N395" s="5" t="s">
        <v>150</v>
      </c>
      <c r="O395" s="5" t="s">
        <v>151</v>
      </c>
      <c r="P395" s="53"/>
      <c r="Q395" s="12" t="s">
        <v>304</v>
      </c>
      <c r="R395" s="5"/>
      <c r="S395" s="5" t="s">
        <v>1655</v>
      </c>
      <c r="T395" s="5" t="s">
        <v>39</v>
      </c>
      <c r="U395" s="8">
        <v>34933</v>
      </c>
      <c r="V395" s="5"/>
      <c r="W395" s="5"/>
      <c r="X395" s="5"/>
      <c r="Y395" s="5"/>
    </row>
    <row r="396" spans="1:25" ht="13.8">
      <c r="A396" s="5" t="s">
        <v>1656</v>
      </c>
      <c r="B396" s="5" t="s">
        <v>26</v>
      </c>
      <c r="C396" s="5" t="s">
        <v>27</v>
      </c>
      <c r="D396" s="5">
        <v>125</v>
      </c>
      <c r="E396" s="7" t="s">
        <v>104</v>
      </c>
      <c r="F396" s="5" t="s">
        <v>477</v>
      </c>
      <c r="G396" s="5" t="s">
        <v>482</v>
      </c>
      <c r="H396" s="5">
        <v>4</v>
      </c>
      <c r="I396" s="8">
        <v>44835</v>
      </c>
      <c r="J396" s="8">
        <v>46295</v>
      </c>
      <c r="K396" s="5" t="s">
        <v>508</v>
      </c>
      <c r="L396" s="5" t="s">
        <v>50</v>
      </c>
      <c r="M396" s="28" t="s">
        <v>1657</v>
      </c>
      <c r="N396" s="21" t="s">
        <v>52</v>
      </c>
      <c r="O396" s="5" t="s">
        <v>64</v>
      </c>
      <c r="P396" s="53" t="s">
        <v>1658</v>
      </c>
      <c r="Q396" s="12"/>
      <c r="R396" s="5"/>
      <c r="S396" s="5"/>
      <c r="T396" s="5" t="s">
        <v>39</v>
      </c>
      <c r="U396" s="16">
        <v>33964</v>
      </c>
      <c r="V396" s="50" t="s">
        <v>1659</v>
      </c>
      <c r="W396" s="5" t="s">
        <v>1660</v>
      </c>
      <c r="X396" s="6">
        <v>2015</v>
      </c>
      <c r="Y396" s="5" t="s">
        <v>106</v>
      </c>
    </row>
    <row r="397" spans="1:25" ht="15">
      <c r="A397" s="5" t="s">
        <v>1661</v>
      </c>
      <c r="B397" s="5" t="s">
        <v>26</v>
      </c>
      <c r="C397" s="5" t="s">
        <v>27</v>
      </c>
      <c r="D397" s="5">
        <v>122</v>
      </c>
      <c r="E397" s="7" t="s">
        <v>322</v>
      </c>
      <c r="F397" s="5"/>
      <c r="G397" s="5" t="s">
        <v>1662</v>
      </c>
      <c r="H397" s="5">
        <v>2</v>
      </c>
      <c r="I397" s="8">
        <v>45566</v>
      </c>
      <c r="J397" s="9">
        <v>47026</v>
      </c>
      <c r="K397" s="5" t="s">
        <v>29</v>
      </c>
      <c r="L397" s="5" t="s">
        <v>141</v>
      </c>
      <c r="M397" s="5" t="s">
        <v>1663</v>
      </c>
      <c r="N397" s="5" t="s">
        <v>143</v>
      </c>
      <c r="O397" s="5"/>
      <c r="P397" s="44" t="s">
        <v>1664</v>
      </c>
      <c r="Q397" s="12"/>
      <c r="R397" s="5"/>
      <c r="S397" s="5"/>
      <c r="T397" s="5" t="s">
        <v>39</v>
      </c>
      <c r="U397" s="8">
        <v>37067</v>
      </c>
      <c r="V397" s="5"/>
      <c r="W397" s="5"/>
      <c r="X397" s="5"/>
      <c r="Y397" s="5"/>
    </row>
    <row r="398" spans="1:25" ht="13.8">
      <c r="A398" s="5" t="s">
        <v>1665</v>
      </c>
      <c r="B398" s="5" t="s">
        <v>47</v>
      </c>
      <c r="C398" s="5" t="s">
        <v>27</v>
      </c>
      <c r="D398" s="5">
        <v>171</v>
      </c>
      <c r="E398" s="7" t="s">
        <v>115</v>
      </c>
      <c r="F398" s="5"/>
      <c r="G398" s="5" t="s">
        <v>628</v>
      </c>
      <c r="H398" s="5"/>
      <c r="I398" s="48">
        <v>44470</v>
      </c>
      <c r="J398" s="48">
        <v>45930</v>
      </c>
      <c r="K398" s="5" t="s">
        <v>29</v>
      </c>
      <c r="L398" s="5" t="s">
        <v>30</v>
      </c>
      <c r="M398" s="49" t="s">
        <v>1666</v>
      </c>
      <c r="N398" s="12" t="s">
        <v>270</v>
      </c>
      <c r="O398" s="5" t="s">
        <v>271</v>
      </c>
      <c r="P398" s="53" t="s">
        <v>1667</v>
      </c>
      <c r="Q398" s="12" t="s">
        <v>1141</v>
      </c>
      <c r="R398" s="5" t="s">
        <v>1142</v>
      </c>
      <c r="S398" s="5"/>
      <c r="T398" s="5" t="s">
        <v>39</v>
      </c>
      <c r="U398" s="48">
        <v>34214</v>
      </c>
      <c r="V398" s="5" t="s">
        <v>1668</v>
      </c>
      <c r="W398" s="5" t="s">
        <v>40</v>
      </c>
      <c r="X398" s="5">
        <v>2015</v>
      </c>
      <c r="Y398" s="5"/>
    </row>
    <row r="399" spans="1:25" ht="13.8">
      <c r="A399" s="5" t="s">
        <v>1669</v>
      </c>
      <c r="B399" s="5" t="s">
        <v>26</v>
      </c>
      <c r="C399" s="5" t="s">
        <v>118</v>
      </c>
      <c r="D399" s="6" t="s">
        <v>114</v>
      </c>
      <c r="E399" s="7" t="s">
        <v>115</v>
      </c>
      <c r="F399" s="5"/>
      <c r="G399" s="5"/>
      <c r="H399" s="5">
        <v>1</v>
      </c>
      <c r="I399" s="8">
        <v>45930</v>
      </c>
      <c r="J399" s="8">
        <v>47390</v>
      </c>
      <c r="K399" s="5" t="s">
        <v>120</v>
      </c>
      <c r="L399" s="5" t="s">
        <v>35</v>
      </c>
      <c r="M399" s="5" t="s">
        <v>1666</v>
      </c>
      <c r="N399" s="5" t="s">
        <v>1201</v>
      </c>
      <c r="O399" s="5"/>
      <c r="P399" s="35"/>
      <c r="Q399" s="12"/>
      <c r="R399" s="5"/>
      <c r="S399" s="5"/>
      <c r="T399" s="5"/>
      <c r="U399" s="5"/>
      <c r="V399" s="5"/>
      <c r="W399" s="5"/>
      <c r="X399" s="5"/>
      <c r="Y399" s="5"/>
    </row>
    <row r="400" spans="1:25" ht="13.8">
      <c r="A400" s="31" t="s">
        <v>1670</v>
      </c>
      <c r="B400" s="5" t="s">
        <v>47</v>
      </c>
      <c r="C400" s="5" t="s">
        <v>1671</v>
      </c>
      <c r="D400" s="5">
        <v>125</v>
      </c>
      <c r="E400" s="64" t="s">
        <v>104</v>
      </c>
      <c r="F400" s="5"/>
      <c r="G400" s="61" t="s">
        <v>747</v>
      </c>
      <c r="H400" s="61"/>
      <c r="I400" s="9">
        <v>43770</v>
      </c>
      <c r="J400" s="9">
        <v>45716</v>
      </c>
      <c r="K400" s="5" t="s">
        <v>83</v>
      </c>
      <c r="L400" s="5" t="s">
        <v>35</v>
      </c>
      <c r="M400" s="13" t="s">
        <v>1672</v>
      </c>
      <c r="N400" s="5" t="s">
        <v>1673</v>
      </c>
      <c r="O400" s="5"/>
      <c r="P400" s="53"/>
      <c r="Q400" s="12"/>
      <c r="R400" s="5"/>
      <c r="S400" s="5" t="s">
        <v>1674</v>
      </c>
      <c r="T400" s="5" t="s">
        <v>39</v>
      </c>
      <c r="U400" s="36">
        <v>32139</v>
      </c>
      <c r="V400" s="5"/>
      <c r="W400" s="5"/>
      <c r="X400" s="5"/>
      <c r="Y400" s="5"/>
    </row>
    <row r="401" spans="1:25" ht="13.8">
      <c r="A401" s="5" t="s">
        <v>1675</v>
      </c>
      <c r="B401" s="5" t="s">
        <v>26</v>
      </c>
      <c r="C401" s="5" t="s">
        <v>118</v>
      </c>
      <c r="D401" s="6" t="s">
        <v>554</v>
      </c>
      <c r="E401" s="7" t="s">
        <v>80</v>
      </c>
      <c r="F401" s="5"/>
      <c r="G401" s="5"/>
      <c r="H401" s="5">
        <v>1</v>
      </c>
      <c r="I401" s="8">
        <v>45930</v>
      </c>
      <c r="J401" s="8">
        <v>47390</v>
      </c>
      <c r="K401" s="5" t="s">
        <v>120</v>
      </c>
      <c r="L401" s="5" t="s">
        <v>35</v>
      </c>
      <c r="M401" s="5" t="s">
        <v>1676</v>
      </c>
      <c r="N401" s="5" t="s">
        <v>1201</v>
      </c>
      <c r="O401" s="5"/>
      <c r="P401" s="35"/>
      <c r="Q401" s="12"/>
      <c r="R401" s="5"/>
      <c r="S401" s="5"/>
      <c r="T401" s="5"/>
      <c r="U401" s="5"/>
      <c r="V401" s="5"/>
      <c r="W401" s="5"/>
      <c r="X401" s="5"/>
      <c r="Y401" s="5"/>
    </row>
    <row r="402" spans="1:25" ht="13.8">
      <c r="A402" s="13" t="s">
        <v>1677</v>
      </c>
      <c r="B402" s="5" t="s">
        <v>26</v>
      </c>
      <c r="C402" s="5" t="s">
        <v>27</v>
      </c>
      <c r="D402" s="29">
        <v>122</v>
      </c>
      <c r="E402" s="30" t="s">
        <v>124</v>
      </c>
      <c r="F402" s="5" t="s">
        <v>125</v>
      </c>
      <c r="G402" s="13" t="s">
        <v>1678</v>
      </c>
      <c r="H402" s="5">
        <v>3</v>
      </c>
      <c r="I402" s="8">
        <v>45200</v>
      </c>
      <c r="J402" s="8">
        <v>46660</v>
      </c>
      <c r="K402" s="5" t="s">
        <v>29</v>
      </c>
      <c r="L402" s="5" t="s">
        <v>35</v>
      </c>
      <c r="M402" s="60" t="s">
        <v>1679</v>
      </c>
      <c r="N402" s="5" t="s">
        <v>85</v>
      </c>
      <c r="O402" s="5"/>
      <c r="P402" s="5" t="s">
        <v>1680</v>
      </c>
      <c r="Q402" s="12"/>
      <c r="R402" s="5"/>
      <c r="S402" s="5"/>
      <c r="T402" s="5" t="s">
        <v>39</v>
      </c>
      <c r="U402" s="33">
        <v>31945</v>
      </c>
      <c r="V402" s="5"/>
      <c r="W402" s="5"/>
      <c r="X402" s="5"/>
      <c r="Y402" s="5" t="s">
        <v>266</v>
      </c>
    </row>
    <row r="403" spans="1:25" ht="13.8">
      <c r="A403" s="13" t="s">
        <v>1681</v>
      </c>
      <c r="B403" s="5" t="s">
        <v>26</v>
      </c>
      <c r="C403" s="5" t="s">
        <v>27</v>
      </c>
      <c r="D403" s="6" t="s">
        <v>43</v>
      </c>
      <c r="E403" s="7"/>
      <c r="F403" s="5"/>
      <c r="G403" s="5"/>
      <c r="H403" s="5">
        <v>1</v>
      </c>
      <c r="I403" s="8">
        <v>45931</v>
      </c>
      <c r="J403" s="8">
        <v>47391</v>
      </c>
      <c r="K403" s="5" t="s">
        <v>29</v>
      </c>
      <c r="L403" s="5" t="s">
        <v>30</v>
      </c>
      <c r="M403" s="34" t="s">
        <v>1682</v>
      </c>
      <c r="N403" s="5" t="s">
        <v>45</v>
      </c>
      <c r="O403" s="5"/>
      <c r="P403" s="35"/>
      <c r="Q403" s="12"/>
      <c r="R403" s="5"/>
      <c r="S403" s="5"/>
      <c r="T403" s="5"/>
      <c r="U403" s="5"/>
      <c r="V403" s="5"/>
      <c r="W403" s="5"/>
      <c r="X403" s="5"/>
      <c r="Y403" s="5"/>
    </row>
    <row r="404" spans="1:25" ht="15">
      <c r="A404" s="5" t="s">
        <v>1683</v>
      </c>
      <c r="B404" s="5" t="s">
        <v>26</v>
      </c>
      <c r="C404" s="5" t="s">
        <v>27</v>
      </c>
      <c r="D404" s="5">
        <v>122</v>
      </c>
      <c r="E404" s="7" t="s">
        <v>294</v>
      </c>
      <c r="F404" s="5" t="s">
        <v>311</v>
      </c>
      <c r="G404" s="44" t="s">
        <v>312</v>
      </c>
      <c r="H404" s="5">
        <v>2</v>
      </c>
      <c r="I404" s="8">
        <v>45566</v>
      </c>
      <c r="J404" s="9">
        <v>47026</v>
      </c>
      <c r="K404" s="5" t="s">
        <v>29</v>
      </c>
      <c r="L404" s="5" t="s">
        <v>141</v>
      </c>
      <c r="M404" s="5" t="s">
        <v>1684</v>
      </c>
      <c r="N404" s="5" t="s">
        <v>143</v>
      </c>
      <c r="O404" s="5"/>
      <c r="P404" s="44" t="s">
        <v>1685</v>
      </c>
      <c r="Q404" s="12"/>
      <c r="R404" s="5"/>
      <c r="S404" s="5"/>
      <c r="T404" s="5" t="s">
        <v>39</v>
      </c>
      <c r="U404" s="8">
        <v>30514</v>
      </c>
      <c r="V404" s="5"/>
      <c r="W404" s="5"/>
      <c r="X404" s="5"/>
      <c r="Y404" s="5" t="s">
        <v>299</v>
      </c>
    </row>
    <row r="405" spans="1:25" ht="13.8">
      <c r="A405" s="13" t="s">
        <v>1686</v>
      </c>
      <c r="B405" s="5" t="s">
        <v>26</v>
      </c>
      <c r="C405" s="5" t="s">
        <v>27</v>
      </c>
      <c r="D405" s="29">
        <v>122</v>
      </c>
      <c r="E405" s="30" t="s">
        <v>33</v>
      </c>
      <c r="F405" s="5"/>
      <c r="G405" s="13" t="s">
        <v>49</v>
      </c>
      <c r="H405" s="5">
        <v>3</v>
      </c>
      <c r="I405" s="8">
        <v>45200</v>
      </c>
      <c r="J405" s="8">
        <v>46660</v>
      </c>
      <c r="K405" s="5" t="s">
        <v>29</v>
      </c>
      <c r="L405" s="5" t="s">
        <v>35</v>
      </c>
      <c r="M405" s="13" t="s">
        <v>1687</v>
      </c>
      <c r="N405" s="5" t="s">
        <v>85</v>
      </c>
      <c r="O405" s="5"/>
      <c r="P405" s="5" t="s">
        <v>1688</v>
      </c>
      <c r="Q405" s="12"/>
      <c r="R405" s="5"/>
      <c r="S405" s="5"/>
      <c r="T405" s="5" t="s">
        <v>39</v>
      </c>
      <c r="U405" s="33">
        <v>36900</v>
      </c>
      <c r="V405" s="5"/>
      <c r="W405" s="5"/>
      <c r="X405" s="5"/>
      <c r="Y405" s="5" t="s">
        <v>41</v>
      </c>
    </row>
    <row r="406" spans="1:25" ht="15">
      <c r="A406" s="5" t="s">
        <v>1689</v>
      </c>
      <c r="B406" s="5" t="s">
        <v>26</v>
      </c>
      <c r="C406" s="5" t="s">
        <v>118</v>
      </c>
      <c r="D406" s="6" t="s">
        <v>409</v>
      </c>
      <c r="E406" s="7" t="s">
        <v>203</v>
      </c>
      <c r="F406" s="5"/>
      <c r="G406" s="5"/>
      <c r="H406" s="5">
        <v>1</v>
      </c>
      <c r="I406" s="8">
        <v>45930</v>
      </c>
      <c r="J406" s="8">
        <v>47390</v>
      </c>
      <c r="K406" s="5" t="s">
        <v>120</v>
      </c>
      <c r="L406" s="5" t="s">
        <v>35</v>
      </c>
      <c r="M406" s="5" t="s">
        <v>1690</v>
      </c>
      <c r="N406" s="5" t="s">
        <v>1201</v>
      </c>
      <c r="O406" s="5"/>
      <c r="P406" s="44"/>
      <c r="Q406" s="12"/>
      <c r="R406" s="5"/>
      <c r="S406" s="5" t="s">
        <v>1081</v>
      </c>
      <c r="T406" s="5" t="s">
        <v>39</v>
      </c>
      <c r="U406" s="8">
        <v>36841</v>
      </c>
      <c r="V406" s="5"/>
      <c r="W406" s="5"/>
      <c r="X406" s="5"/>
      <c r="Y406" s="5"/>
    </row>
    <row r="407" spans="1:25" ht="13.8">
      <c r="A407" s="13" t="s">
        <v>1691</v>
      </c>
      <c r="B407" s="5" t="s">
        <v>26</v>
      </c>
      <c r="C407" s="5" t="s">
        <v>27</v>
      </c>
      <c r="D407" s="5">
        <v>172</v>
      </c>
      <c r="E407" s="7" t="s">
        <v>131</v>
      </c>
      <c r="F407" s="5" t="s">
        <v>132</v>
      </c>
      <c r="G407" s="5" t="s">
        <v>786</v>
      </c>
      <c r="H407" s="5">
        <v>3</v>
      </c>
      <c r="I407" s="8">
        <v>45047</v>
      </c>
      <c r="J407" s="8">
        <v>46507</v>
      </c>
      <c r="K407" s="5" t="s">
        <v>29</v>
      </c>
      <c r="L407" s="5" t="s">
        <v>35</v>
      </c>
      <c r="M407" s="53" t="s">
        <v>1692</v>
      </c>
      <c r="N407" s="12" t="s">
        <v>37</v>
      </c>
      <c r="O407" s="5"/>
      <c r="P407" s="72" t="s">
        <v>1693</v>
      </c>
      <c r="Q407" s="12"/>
      <c r="R407" s="5"/>
      <c r="S407" s="5"/>
      <c r="T407" s="5" t="s">
        <v>39</v>
      </c>
      <c r="U407" s="16">
        <v>36343</v>
      </c>
      <c r="V407" s="5">
        <v>966714641</v>
      </c>
      <c r="W407" s="5" t="s">
        <v>40</v>
      </c>
      <c r="X407" s="6">
        <v>2022</v>
      </c>
      <c r="Y407" s="5" t="s">
        <v>136</v>
      </c>
    </row>
    <row r="408" spans="1:25" ht="13.8">
      <c r="A408" s="13" t="s">
        <v>1694</v>
      </c>
      <c r="B408" s="5" t="s">
        <v>26</v>
      </c>
      <c r="C408" s="5" t="s">
        <v>27</v>
      </c>
      <c r="D408" s="6" t="s">
        <v>103</v>
      </c>
      <c r="E408" s="7" t="s">
        <v>104</v>
      </c>
      <c r="F408" s="5"/>
      <c r="G408" s="5"/>
      <c r="H408" s="5">
        <v>1</v>
      </c>
      <c r="I408" s="8">
        <v>45931</v>
      </c>
      <c r="J408" s="8">
        <v>47391</v>
      </c>
      <c r="K408" s="5" t="s">
        <v>29</v>
      </c>
      <c r="L408" s="5" t="s">
        <v>30</v>
      </c>
      <c r="M408" s="34" t="s">
        <v>1695</v>
      </c>
      <c r="N408" s="5" t="s">
        <v>45</v>
      </c>
      <c r="O408" s="5"/>
      <c r="P408" s="35"/>
      <c r="Q408" s="12"/>
      <c r="R408" s="5"/>
      <c r="S408" s="5"/>
      <c r="T408" s="5"/>
      <c r="U408" s="5"/>
      <c r="V408" s="5"/>
      <c r="W408" s="5"/>
      <c r="X408" s="5"/>
      <c r="Y408" s="5"/>
    </row>
    <row r="409" spans="1:25" ht="13.8">
      <c r="A409" s="13" t="s">
        <v>1696</v>
      </c>
      <c r="B409" s="5" t="s">
        <v>26</v>
      </c>
      <c r="C409" s="5" t="s">
        <v>27</v>
      </c>
      <c r="D409" s="6" t="s">
        <v>283</v>
      </c>
      <c r="E409" s="7" t="s">
        <v>138</v>
      </c>
      <c r="F409" s="5"/>
      <c r="G409" s="5"/>
      <c r="H409" s="5">
        <v>1</v>
      </c>
      <c r="I409" s="8">
        <v>45931</v>
      </c>
      <c r="J409" s="8">
        <v>47391</v>
      </c>
      <c r="K409" s="5" t="s">
        <v>29</v>
      </c>
      <c r="L409" s="5" t="s">
        <v>30</v>
      </c>
      <c r="M409" s="34" t="s">
        <v>1697</v>
      </c>
      <c r="N409" s="5" t="s">
        <v>45</v>
      </c>
      <c r="O409" s="5"/>
      <c r="P409" s="35"/>
      <c r="Q409" s="12"/>
      <c r="R409" s="5"/>
      <c r="S409" s="5"/>
      <c r="T409" s="5"/>
      <c r="U409" s="5"/>
      <c r="V409" s="5"/>
      <c r="W409" s="5"/>
      <c r="X409" s="5"/>
      <c r="Y409" s="5"/>
    </row>
    <row r="410" spans="1:25" ht="13.8">
      <c r="A410" s="13" t="s">
        <v>1696</v>
      </c>
      <c r="B410" s="5" t="s">
        <v>26</v>
      </c>
      <c r="C410" s="5" t="s">
        <v>27</v>
      </c>
      <c r="D410" s="6" t="s">
        <v>596</v>
      </c>
      <c r="E410" s="7" t="s">
        <v>192</v>
      </c>
      <c r="F410" s="5"/>
      <c r="G410" s="5"/>
      <c r="H410" s="5">
        <v>1</v>
      </c>
      <c r="I410" s="8">
        <v>45950</v>
      </c>
      <c r="J410" s="8">
        <v>47410</v>
      </c>
      <c r="K410" s="5" t="s">
        <v>83</v>
      </c>
      <c r="L410" s="5" t="s">
        <v>35</v>
      </c>
      <c r="M410" s="34" t="s">
        <v>1697</v>
      </c>
      <c r="N410" s="5" t="s">
        <v>1698</v>
      </c>
      <c r="O410" s="5"/>
      <c r="P410" s="35"/>
      <c r="Q410" s="12"/>
      <c r="R410" s="5"/>
      <c r="S410" s="5"/>
      <c r="T410" s="5"/>
      <c r="U410" s="5"/>
      <c r="V410" s="5"/>
      <c r="W410" s="5"/>
      <c r="X410" s="5"/>
      <c r="Y410" s="5"/>
    </row>
    <row r="411" spans="1:25" ht="13.8">
      <c r="A411" s="13" t="s">
        <v>1699</v>
      </c>
      <c r="B411" s="5" t="s">
        <v>26</v>
      </c>
      <c r="C411" s="5" t="s">
        <v>27</v>
      </c>
      <c r="D411" s="29">
        <v>122</v>
      </c>
      <c r="E411" s="30" t="s">
        <v>33</v>
      </c>
      <c r="F411" s="5"/>
      <c r="G411" s="13" t="s">
        <v>904</v>
      </c>
      <c r="H411" s="5">
        <v>3</v>
      </c>
      <c r="I411" s="8">
        <v>45200</v>
      </c>
      <c r="J411" s="8">
        <v>46660</v>
      </c>
      <c r="K411" s="5" t="s">
        <v>29</v>
      </c>
      <c r="L411" s="5" t="s">
        <v>50</v>
      </c>
      <c r="M411" s="13" t="s">
        <v>1700</v>
      </c>
      <c r="N411" s="5" t="s">
        <v>85</v>
      </c>
      <c r="O411" s="5"/>
      <c r="P411" s="5" t="s">
        <v>1701</v>
      </c>
      <c r="Q411" s="12"/>
      <c r="R411" s="5"/>
      <c r="S411" s="5"/>
      <c r="T411" s="31" t="s">
        <v>39</v>
      </c>
      <c r="U411" s="33">
        <v>36595</v>
      </c>
      <c r="V411" s="5"/>
      <c r="W411" s="5"/>
      <c r="X411" s="5"/>
      <c r="Y411" s="5" t="s">
        <v>41</v>
      </c>
    </row>
    <row r="412" spans="1:25" ht="13.8">
      <c r="A412" s="28" t="s">
        <v>1702</v>
      </c>
      <c r="B412" s="5" t="s">
        <v>47</v>
      </c>
      <c r="C412" s="5" t="s">
        <v>27</v>
      </c>
      <c r="D412" s="29">
        <v>174</v>
      </c>
      <c r="E412" s="30" t="s">
        <v>138</v>
      </c>
      <c r="F412" s="5"/>
      <c r="G412" s="13" t="s">
        <v>558</v>
      </c>
      <c r="H412" s="5"/>
      <c r="I412" s="8">
        <v>45200</v>
      </c>
      <c r="J412" s="8">
        <v>45930</v>
      </c>
      <c r="K412" s="5" t="s">
        <v>508</v>
      </c>
      <c r="L412" s="5" t="s">
        <v>50</v>
      </c>
      <c r="M412" s="13" t="s">
        <v>1703</v>
      </c>
      <c r="N412" s="5" t="s">
        <v>85</v>
      </c>
      <c r="O412" s="5"/>
      <c r="P412" s="5" t="s">
        <v>1704</v>
      </c>
      <c r="Q412" s="12" t="s">
        <v>433</v>
      </c>
      <c r="R412" s="5" t="s">
        <v>434</v>
      </c>
      <c r="S412" s="5" t="s">
        <v>1705</v>
      </c>
      <c r="T412" s="31" t="s">
        <v>57</v>
      </c>
      <c r="U412" s="33">
        <v>36774</v>
      </c>
      <c r="V412" s="5"/>
      <c r="W412" s="5"/>
      <c r="X412" s="5"/>
      <c r="Y412" s="5"/>
    </row>
    <row r="413" spans="1:25" ht="15">
      <c r="A413" s="5" t="s">
        <v>1706</v>
      </c>
      <c r="B413" s="5" t="s">
        <v>26</v>
      </c>
      <c r="C413" s="5" t="s">
        <v>27</v>
      </c>
      <c r="D413" s="5">
        <v>126</v>
      </c>
      <c r="E413" s="7" t="s">
        <v>80</v>
      </c>
      <c r="F413" s="5" t="s">
        <v>81</v>
      </c>
      <c r="G413" s="5" t="s">
        <v>350</v>
      </c>
      <c r="H413" s="5">
        <v>2</v>
      </c>
      <c r="I413" s="8">
        <v>45566</v>
      </c>
      <c r="J413" s="9">
        <v>47026</v>
      </c>
      <c r="K413" s="5" t="s">
        <v>29</v>
      </c>
      <c r="L413" s="5" t="s">
        <v>141</v>
      </c>
      <c r="M413" s="5" t="s">
        <v>1707</v>
      </c>
      <c r="N413" s="5" t="s">
        <v>143</v>
      </c>
      <c r="O413" s="5"/>
      <c r="P413" s="44" t="s">
        <v>1708</v>
      </c>
      <c r="Q413" s="12"/>
      <c r="R413" s="5"/>
      <c r="S413" s="5"/>
      <c r="T413" s="5" t="s">
        <v>39</v>
      </c>
      <c r="U413" s="8">
        <v>35513</v>
      </c>
      <c r="V413" s="5"/>
      <c r="W413" s="5"/>
      <c r="X413" s="5"/>
      <c r="Y413" s="5" t="s">
        <v>88</v>
      </c>
    </row>
    <row r="414" spans="1:25" ht="13.8">
      <c r="A414" s="5" t="s">
        <v>1709</v>
      </c>
      <c r="B414" s="5" t="s">
        <v>26</v>
      </c>
      <c r="C414" s="5" t="s">
        <v>27</v>
      </c>
      <c r="D414" s="5">
        <v>163</v>
      </c>
      <c r="E414" s="7" t="s">
        <v>90</v>
      </c>
      <c r="F414" s="5"/>
      <c r="G414" s="5" t="s">
        <v>1710</v>
      </c>
      <c r="H414" s="5">
        <v>4</v>
      </c>
      <c r="I414" s="8">
        <v>44835</v>
      </c>
      <c r="J414" s="8">
        <v>46295</v>
      </c>
      <c r="K414" s="5" t="s">
        <v>29</v>
      </c>
      <c r="L414" s="5" t="s">
        <v>50</v>
      </c>
      <c r="M414" s="60" t="s">
        <v>1711</v>
      </c>
      <c r="N414" s="21" t="s">
        <v>52</v>
      </c>
      <c r="O414" s="5" t="s">
        <v>64</v>
      </c>
      <c r="P414" s="53" t="s">
        <v>1712</v>
      </c>
      <c r="Q414" s="12"/>
      <c r="R414" s="5"/>
      <c r="S414" s="5"/>
      <c r="T414" s="5" t="s">
        <v>39</v>
      </c>
      <c r="U414" s="16">
        <v>35653</v>
      </c>
      <c r="V414" s="5" t="s">
        <v>1713</v>
      </c>
      <c r="W414" s="5" t="s">
        <v>40</v>
      </c>
      <c r="X414" s="6">
        <v>2020</v>
      </c>
      <c r="Y414" s="5" t="s">
        <v>94</v>
      </c>
    </row>
    <row r="415" spans="1:25" ht="13.8">
      <c r="A415" s="5" t="s">
        <v>1714</v>
      </c>
      <c r="B415" s="5" t="s">
        <v>47</v>
      </c>
      <c r="C415" s="5" t="s">
        <v>27</v>
      </c>
      <c r="D415" s="5">
        <v>121</v>
      </c>
      <c r="E415" s="7" t="s">
        <v>77</v>
      </c>
      <c r="F415" s="5"/>
      <c r="G415" s="5" t="s">
        <v>226</v>
      </c>
      <c r="H415" s="5"/>
      <c r="I415" s="8">
        <v>44835</v>
      </c>
      <c r="J415" s="8">
        <v>45930</v>
      </c>
      <c r="K415" s="5" t="s">
        <v>29</v>
      </c>
      <c r="L415" s="5" t="s">
        <v>35</v>
      </c>
      <c r="M415" s="60" t="s">
        <v>1715</v>
      </c>
      <c r="N415" s="21" t="s">
        <v>52</v>
      </c>
      <c r="O415" s="5" t="s">
        <v>64</v>
      </c>
      <c r="P415" s="28" t="s">
        <v>1716</v>
      </c>
      <c r="Q415" s="12" t="s">
        <v>433</v>
      </c>
      <c r="R415" s="5" t="s">
        <v>757</v>
      </c>
      <c r="S415" s="5"/>
      <c r="T415" s="5" t="s">
        <v>39</v>
      </c>
      <c r="U415" s="16">
        <v>34303</v>
      </c>
      <c r="V415" s="50" t="s">
        <v>1717</v>
      </c>
      <c r="W415" s="5" t="s">
        <v>40</v>
      </c>
      <c r="X415" s="6">
        <v>2021</v>
      </c>
      <c r="Y415" s="5"/>
    </row>
    <row r="416" spans="1:25" ht="15">
      <c r="A416" s="5" t="s">
        <v>1718</v>
      </c>
      <c r="B416" s="5" t="s">
        <v>26</v>
      </c>
      <c r="C416" s="5" t="s">
        <v>27</v>
      </c>
      <c r="D416" s="5">
        <v>121</v>
      </c>
      <c r="E416" s="7" t="s">
        <v>77</v>
      </c>
      <c r="F416" s="5"/>
      <c r="G416" s="5" t="s">
        <v>1719</v>
      </c>
      <c r="H416" s="5">
        <v>2</v>
      </c>
      <c r="I416" s="8">
        <v>45566</v>
      </c>
      <c r="J416" s="9">
        <v>47026</v>
      </c>
      <c r="K416" s="5" t="s">
        <v>29</v>
      </c>
      <c r="L416" s="5" t="s">
        <v>141</v>
      </c>
      <c r="M416" s="5" t="s">
        <v>1720</v>
      </c>
      <c r="N416" s="5" t="s">
        <v>143</v>
      </c>
      <c r="O416" s="5"/>
      <c r="P416" s="44" t="s">
        <v>1721</v>
      </c>
      <c r="Q416" s="12"/>
      <c r="R416" s="5"/>
      <c r="S416" s="5"/>
      <c r="T416" s="5" t="s">
        <v>39</v>
      </c>
      <c r="U416" s="8">
        <v>36993</v>
      </c>
      <c r="V416" s="5"/>
      <c r="W416" s="5"/>
      <c r="X416" s="5"/>
      <c r="Y416" s="5" t="s">
        <v>94</v>
      </c>
    </row>
    <row r="417" spans="1:25" ht="13.8">
      <c r="A417" s="5" t="s">
        <v>1722</v>
      </c>
      <c r="B417" s="5" t="s">
        <v>26</v>
      </c>
      <c r="C417" s="5" t="s">
        <v>27</v>
      </c>
      <c r="D417" s="5">
        <v>125</v>
      </c>
      <c r="E417" s="7" t="s">
        <v>104</v>
      </c>
      <c r="F417" s="5" t="s">
        <v>477</v>
      </c>
      <c r="G417" s="5" t="s">
        <v>747</v>
      </c>
      <c r="H417" s="5">
        <v>4</v>
      </c>
      <c r="I417" s="8">
        <v>44835</v>
      </c>
      <c r="J417" s="8">
        <v>46295</v>
      </c>
      <c r="K417" s="5" t="s">
        <v>29</v>
      </c>
      <c r="L417" s="5" t="s">
        <v>35</v>
      </c>
      <c r="M417" s="60" t="s">
        <v>1723</v>
      </c>
      <c r="N417" s="21" t="s">
        <v>52</v>
      </c>
      <c r="O417" s="5" t="s">
        <v>64</v>
      </c>
      <c r="P417" s="53" t="s">
        <v>1724</v>
      </c>
      <c r="Q417" s="12"/>
      <c r="R417" s="5"/>
      <c r="S417" s="5" t="s">
        <v>1725</v>
      </c>
      <c r="T417" s="5" t="s">
        <v>39</v>
      </c>
      <c r="U417" s="16">
        <v>34160</v>
      </c>
      <c r="V417" s="5" t="s">
        <v>1726</v>
      </c>
      <c r="W417" s="5" t="s">
        <v>40</v>
      </c>
      <c r="X417" s="6">
        <v>2015</v>
      </c>
      <c r="Y417" s="5" t="s">
        <v>106</v>
      </c>
    </row>
    <row r="418" spans="1:25" ht="15">
      <c r="A418" s="5" t="s">
        <v>1727</v>
      </c>
      <c r="B418" s="5" t="s">
        <v>26</v>
      </c>
      <c r="C418" s="5" t="s">
        <v>27</v>
      </c>
      <c r="D418" s="5">
        <v>126</v>
      </c>
      <c r="E418" s="7" t="s">
        <v>80</v>
      </c>
      <c r="F418" s="5" t="s">
        <v>81</v>
      </c>
      <c r="G418" s="5" t="s">
        <v>1616</v>
      </c>
      <c r="H418" s="5">
        <v>2</v>
      </c>
      <c r="I418" s="8">
        <v>45566</v>
      </c>
      <c r="J418" s="9">
        <v>47026</v>
      </c>
      <c r="K418" s="5" t="s">
        <v>29</v>
      </c>
      <c r="L418" s="5" t="s">
        <v>141</v>
      </c>
      <c r="M418" s="5" t="s">
        <v>1728</v>
      </c>
      <c r="N418" s="5" t="s">
        <v>143</v>
      </c>
      <c r="O418" s="5"/>
      <c r="P418" s="44" t="s">
        <v>1729</v>
      </c>
      <c r="Q418" s="12"/>
      <c r="R418" s="5"/>
      <c r="S418" s="5"/>
      <c r="T418" s="5" t="s">
        <v>39</v>
      </c>
      <c r="U418" s="8">
        <v>36968</v>
      </c>
      <c r="V418" s="5"/>
      <c r="W418" s="5"/>
      <c r="X418" s="5"/>
      <c r="Y418" s="5" t="s">
        <v>88</v>
      </c>
    </row>
    <row r="419" spans="1:25" ht="15">
      <c r="A419" s="5" t="s">
        <v>1730</v>
      </c>
      <c r="B419" s="5" t="s">
        <v>26</v>
      </c>
      <c r="C419" s="5" t="s">
        <v>27</v>
      </c>
      <c r="D419" s="5">
        <v>172</v>
      </c>
      <c r="E419" s="7" t="s">
        <v>131</v>
      </c>
      <c r="F419" s="5" t="s">
        <v>238</v>
      </c>
      <c r="G419" s="5" t="s">
        <v>1731</v>
      </c>
      <c r="H419" s="5">
        <v>2</v>
      </c>
      <c r="I419" s="8">
        <v>45566</v>
      </c>
      <c r="J419" s="9">
        <v>47026</v>
      </c>
      <c r="K419" s="5" t="s">
        <v>29</v>
      </c>
      <c r="L419" s="5" t="s">
        <v>141</v>
      </c>
      <c r="M419" s="5" t="s">
        <v>1732</v>
      </c>
      <c r="N419" s="5" t="s">
        <v>143</v>
      </c>
      <c r="O419" s="5"/>
      <c r="P419" s="44" t="s">
        <v>1733</v>
      </c>
      <c r="Q419" s="12"/>
      <c r="R419" s="5"/>
      <c r="S419" s="5"/>
      <c r="T419" s="5" t="s">
        <v>39</v>
      </c>
      <c r="U419" s="8">
        <v>32566</v>
      </c>
      <c r="V419" s="5"/>
      <c r="W419" s="5"/>
      <c r="X419" s="5"/>
      <c r="Y419" s="5" t="s">
        <v>136</v>
      </c>
    </row>
    <row r="420" spans="1:25" ht="13.8">
      <c r="A420" s="13" t="s">
        <v>1734</v>
      </c>
      <c r="B420" s="5" t="s">
        <v>26</v>
      </c>
      <c r="C420" s="5" t="s">
        <v>27</v>
      </c>
      <c r="D420" s="6" t="s">
        <v>980</v>
      </c>
      <c r="E420" s="7"/>
      <c r="F420" s="5"/>
      <c r="G420" s="5"/>
      <c r="H420" s="5">
        <v>1</v>
      </c>
      <c r="I420" s="8">
        <v>45931</v>
      </c>
      <c r="J420" s="8">
        <v>47391</v>
      </c>
      <c r="K420" s="5" t="s">
        <v>29</v>
      </c>
      <c r="L420" s="5" t="s">
        <v>30</v>
      </c>
      <c r="M420" s="34" t="s">
        <v>1735</v>
      </c>
      <c r="N420" s="5" t="s">
        <v>45</v>
      </c>
      <c r="O420" s="5"/>
      <c r="P420" s="35"/>
      <c r="Q420" s="12"/>
      <c r="R420" s="5"/>
      <c r="S420" s="5"/>
      <c r="T420" s="5"/>
      <c r="U420" s="5"/>
      <c r="V420" s="5"/>
      <c r="W420" s="5"/>
      <c r="X420" s="5"/>
      <c r="Y420" s="5"/>
    </row>
    <row r="421" spans="1:25" ht="15" customHeight="1">
      <c r="A421" s="5" t="s">
        <v>1736</v>
      </c>
      <c r="B421" s="5" t="s">
        <v>47</v>
      </c>
      <c r="C421" s="5" t="s">
        <v>27</v>
      </c>
      <c r="D421" s="5">
        <v>172</v>
      </c>
      <c r="E421" s="7" t="s">
        <v>180</v>
      </c>
      <c r="F421" s="5" t="s">
        <v>181</v>
      </c>
      <c r="G421" s="5" t="s">
        <v>462</v>
      </c>
      <c r="H421" s="5"/>
      <c r="I421" s="48">
        <v>44470</v>
      </c>
      <c r="J421" s="48">
        <v>45930</v>
      </c>
      <c r="K421" s="5" t="s">
        <v>29</v>
      </c>
      <c r="L421" s="5" t="s">
        <v>30</v>
      </c>
      <c r="M421" s="49" t="s">
        <v>1737</v>
      </c>
      <c r="N421" s="12" t="s">
        <v>270</v>
      </c>
      <c r="O421" s="5" t="s">
        <v>271</v>
      </c>
      <c r="P421" s="53" t="s">
        <v>1738</v>
      </c>
      <c r="Q421" s="12" t="s">
        <v>1141</v>
      </c>
      <c r="R421" s="5" t="s">
        <v>1142</v>
      </c>
      <c r="S421" s="5"/>
      <c r="T421" s="5" t="s">
        <v>39</v>
      </c>
      <c r="U421" s="48">
        <v>35255</v>
      </c>
      <c r="V421" s="5" t="s">
        <v>1739</v>
      </c>
      <c r="W421" s="5" t="s">
        <v>40</v>
      </c>
      <c r="X421" s="5">
        <v>2021</v>
      </c>
      <c r="Y421" s="5"/>
    </row>
    <row r="422" spans="1:25" ht="13.8">
      <c r="A422" s="28" t="s">
        <v>1740</v>
      </c>
      <c r="B422" s="5" t="s">
        <v>26</v>
      </c>
      <c r="C422" s="5" t="s">
        <v>27</v>
      </c>
      <c r="D422" s="29">
        <v>123</v>
      </c>
      <c r="E422" s="30" t="s">
        <v>249</v>
      </c>
      <c r="F422" s="5" t="s">
        <v>250</v>
      </c>
      <c r="G422" s="13" t="s">
        <v>1741</v>
      </c>
      <c r="H422" s="5">
        <v>3</v>
      </c>
      <c r="I422" s="8">
        <v>45200</v>
      </c>
      <c r="J422" s="8">
        <v>46660</v>
      </c>
      <c r="K422" s="5" t="s">
        <v>508</v>
      </c>
      <c r="L422" s="5" t="s">
        <v>50</v>
      </c>
      <c r="M422" s="13" t="s">
        <v>1742</v>
      </c>
      <c r="N422" s="5" t="s">
        <v>85</v>
      </c>
      <c r="O422" s="5"/>
      <c r="P422" s="5" t="s">
        <v>1743</v>
      </c>
      <c r="Q422" s="12"/>
      <c r="R422" s="5"/>
      <c r="S422" s="5"/>
      <c r="T422" s="31" t="s">
        <v>57</v>
      </c>
      <c r="U422" s="33">
        <v>36750</v>
      </c>
      <c r="V422" s="5"/>
      <c r="W422" s="5"/>
      <c r="X422" s="5"/>
      <c r="Y422" s="5" t="s">
        <v>299</v>
      </c>
    </row>
    <row r="423" spans="1:25" ht="15">
      <c r="A423" s="5" t="s">
        <v>1744</v>
      </c>
      <c r="B423" s="5" t="s">
        <v>26</v>
      </c>
      <c r="C423" s="5" t="s">
        <v>27</v>
      </c>
      <c r="D423" s="5">
        <v>123</v>
      </c>
      <c r="E423" s="7" t="s">
        <v>249</v>
      </c>
      <c r="F423" s="5" t="s">
        <v>250</v>
      </c>
      <c r="G423" s="5" t="s">
        <v>1745</v>
      </c>
      <c r="H423" s="5">
        <v>2</v>
      </c>
      <c r="I423" s="8">
        <v>45566</v>
      </c>
      <c r="J423" s="9">
        <v>47026</v>
      </c>
      <c r="K423" s="5" t="s">
        <v>29</v>
      </c>
      <c r="L423" s="5" t="s">
        <v>141</v>
      </c>
      <c r="M423" s="66" t="s">
        <v>1746</v>
      </c>
      <c r="N423" s="5" t="s">
        <v>143</v>
      </c>
      <c r="O423" s="5"/>
      <c r="P423" s="44" t="s">
        <v>1747</v>
      </c>
      <c r="Q423" s="12"/>
      <c r="R423" s="5"/>
      <c r="S423" s="5"/>
      <c r="T423" s="5" t="s">
        <v>39</v>
      </c>
      <c r="U423" s="8">
        <v>35865</v>
      </c>
      <c r="V423" s="5"/>
      <c r="W423" s="5"/>
      <c r="X423" s="5"/>
      <c r="Y423" s="5" t="s">
        <v>299</v>
      </c>
    </row>
    <row r="424" spans="1:25" ht="13.8">
      <c r="A424" s="28" t="s">
        <v>1748</v>
      </c>
      <c r="B424" s="5" t="s">
        <v>26</v>
      </c>
      <c r="C424" s="5" t="s">
        <v>27</v>
      </c>
      <c r="D424" s="29">
        <v>126</v>
      </c>
      <c r="E424" s="30" t="s">
        <v>80</v>
      </c>
      <c r="F424" s="5" t="s">
        <v>81</v>
      </c>
      <c r="G424" s="13" t="s">
        <v>456</v>
      </c>
      <c r="H424" s="5">
        <v>3</v>
      </c>
      <c r="I424" s="8">
        <v>45200</v>
      </c>
      <c r="J424" s="8">
        <v>46660</v>
      </c>
      <c r="K424" s="5" t="s">
        <v>29</v>
      </c>
      <c r="L424" s="5" t="s">
        <v>35</v>
      </c>
      <c r="M424" s="13" t="s">
        <v>1749</v>
      </c>
      <c r="N424" s="5" t="s">
        <v>85</v>
      </c>
      <c r="O424" s="5"/>
      <c r="P424" s="5" t="s">
        <v>1750</v>
      </c>
      <c r="Q424" s="12"/>
      <c r="R424" s="5"/>
      <c r="S424" s="5"/>
      <c r="T424" s="5" t="s">
        <v>39</v>
      </c>
      <c r="U424" s="33">
        <v>34960</v>
      </c>
      <c r="V424" s="5"/>
      <c r="W424" s="5"/>
      <c r="X424" s="5"/>
      <c r="Y424" s="5" t="s">
        <v>88</v>
      </c>
    </row>
    <row r="425" spans="1:25" ht="13.8">
      <c r="A425" s="5" t="s">
        <v>1751</v>
      </c>
      <c r="B425" s="5" t="s">
        <v>26</v>
      </c>
      <c r="C425" s="5" t="s">
        <v>27</v>
      </c>
      <c r="D425" s="5">
        <v>172</v>
      </c>
      <c r="E425" s="7" t="s">
        <v>262</v>
      </c>
      <c r="F425" s="5"/>
      <c r="G425" s="5" t="s">
        <v>1752</v>
      </c>
      <c r="H425" s="5">
        <v>4</v>
      </c>
      <c r="I425" s="8">
        <v>44835</v>
      </c>
      <c r="J425" s="8">
        <v>46295</v>
      </c>
      <c r="K425" s="5" t="s">
        <v>29</v>
      </c>
      <c r="L425" s="5" t="s">
        <v>50</v>
      </c>
      <c r="M425" s="60" t="s">
        <v>1753</v>
      </c>
      <c r="N425" s="21" t="s">
        <v>52</v>
      </c>
      <c r="O425" s="5" t="s">
        <v>64</v>
      </c>
      <c r="P425" s="53" t="s">
        <v>1754</v>
      </c>
      <c r="Q425" s="12"/>
      <c r="R425" s="5"/>
      <c r="S425" s="5" t="s">
        <v>1755</v>
      </c>
      <c r="T425" s="5" t="s">
        <v>39</v>
      </c>
      <c r="U425" s="16">
        <v>35369</v>
      </c>
      <c r="V425" s="5" t="s">
        <v>1756</v>
      </c>
      <c r="W425" s="5" t="s">
        <v>40</v>
      </c>
      <c r="X425" s="6">
        <v>2020</v>
      </c>
      <c r="Y425" s="5" t="s">
        <v>266</v>
      </c>
    </row>
    <row r="426" spans="1:25" ht="13.8">
      <c r="A426" s="5" t="s">
        <v>1757</v>
      </c>
      <c r="B426" s="5" t="s">
        <v>26</v>
      </c>
      <c r="C426" s="5" t="s">
        <v>27</v>
      </c>
      <c r="D426" s="5">
        <v>113</v>
      </c>
      <c r="E426" s="7" t="s">
        <v>203</v>
      </c>
      <c r="F426" s="5"/>
      <c r="G426" s="5" t="s">
        <v>393</v>
      </c>
      <c r="H426" s="5">
        <v>1</v>
      </c>
      <c r="I426" s="8">
        <v>45594</v>
      </c>
      <c r="J426" s="36">
        <v>47054</v>
      </c>
      <c r="K426" s="5" t="s">
        <v>83</v>
      </c>
      <c r="L426" s="5" t="s">
        <v>35</v>
      </c>
      <c r="M426" s="92" t="s">
        <v>1758</v>
      </c>
      <c r="N426" s="5" t="s">
        <v>1535</v>
      </c>
      <c r="O426" s="5"/>
      <c r="P426" s="35"/>
      <c r="Q426" s="12"/>
      <c r="R426" s="5"/>
      <c r="S426" s="5"/>
      <c r="T426" s="5"/>
      <c r="U426" s="5"/>
      <c r="V426" s="5"/>
      <c r="W426" s="5"/>
      <c r="X426" s="5"/>
      <c r="Y426" s="5" t="s">
        <v>41</v>
      </c>
    </row>
    <row r="427" spans="1:25" ht="13.8">
      <c r="A427" s="5" t="s">
        <v>1759</v>
      </c>
      <c r="B427" s="5" t="s">
        <v>26</v>
      </c>
      <c r="C427" s="5" t="s">
        <v>27</v>
      </c>
      <c r="D427" s="5">
        <v>125</v>
      </c>
      <c r="E427" s="7" t="s">
        <v>104</v>
      </c>
      <c r="F427" s="5" t="s">
        <v>477</v>
      </c>
      <c r="G427" s="5" t="s">
        <v>550</v>
      </c>
      <c r="H427" s="5">
        <v>4</v>
      </c>
      <c r="I427" s="8">
        <v>44835</v>
      </c>
      <c r="J427" s="8">
        <v>46295</v>
      </c>
      <c r="K427" s="5" t="s">
        <v>29</v>
      </c>
      <c r="L427" s="5" t="s">
        <v>50</v>
      </c>
      <c r="M427" s="53" t="s">
        <v>1760</v>
      </c>
      <c r="N427" s="21" t="s">
        <v>52</v>
      </c>
      <c r="O427" s="5" t="s">
        <v>64</v>
      </c>
      <c r="P427" s="28" t="s">
        <v>1761</v>
      </c>
      <c r="Q427" s="12"/>
      <c r="R427" s="5"/>
      <c r="S427" s="5" t="s">
        <v>1762</v>
      </c>
      <c r="T427" s="5" t="s">
        <v>57</v>
      </c>
      <c r="U427" s="16">
        <v>30437</v>
      </c>
      <c r="V427" s="50" t="s">
        <v>1763</v>
      </c>
      <c r="W427" s="5" t="s">
        <v>1764</v>
      </c>
      <c r="X427" s="6">
        <v>2006</v>
      </c>
      <c r="Y427" s="5" t="s">
        <v>106</v>
      </c>
    </row>
    <row r="428" spans="1:25" ht="13.8">
      <c r="A428" s="13" t="s">
        <v>1765</v>
      </c>
      <c r="B428" s="5" t="s">
        <v>26</v>
      </c>
      <c r="C428" s="5" t="s">
        <v>27</v>
      </c>
      <c r="D428" s="5">
        <v>122</v>
      </c>
      <c r="E428" s="7" t="s">
        <v>33</v>
      </c>
      <c r="F428" s="5"/>
      <c r="G428" s="5" t="s">
        <v>1766</v>
      </c>
      <c r="H428" s="5">
        <v>3</v>
      </c>
      <c r="I428" s="8">
        <v>45047</v>
      </c>
      <c r="J428" s="8">
        <v>46507</v>
      </c>
      <c r="K428" s="5" t="s">
        <v>29</v>
      </c>
      <c r="L428" s="5" t="s">
        <v>35</v>
      </c>
      <c r="M428" s="60" t="s">
        <v>1767</v>
      </c>
      <c r="N428" s="12" t="s">
        <v>37</v>
      </c>
      <c r="O428" s="5"/>
      <c r="P428" s="74" t="s">
        <v>1768</v>
      </c>
      <c r="Q428" s="12"/>
      <c r="R428" s="5"/>
      <c r="S428" s="5"/>
      <c r="T428" s="5" t="s">
        <v>39</v>
      </c>
      <c r="U428" s="16">
        <v>33768</v>
      </c>
      <c r="V428" s="5">
        <v>506752536</v>
      </c>
      <c r="W428" s="5" t="s">
        <v>40</v>
      </c>
      <c r="X428" s="6">
        <v>2015</v>
      </c>
      <c r="Y428" s="5" t="s">
        <v>41</v>
      </c>
    </row>
    <row r="429" spans="1:25" ht="13.8">
      <c r="A429" s="13" t="s">
        <v>1769</v>
      </c>
      <c r="B429" s="5" t="s">
        <v>26</v>
      </c>
      <c r="C429" s="5" t="s">
        <v>27</v>
      </c>
      <c r="D429" s="29">
        <v>126</v>
      </c>
      <c r="E429" s="30" t="s">
        <v>80</v>
      </c>
      <c r="F429" s="5" t="s">
        <v>81</v>
      </c>
      <c r="G429" s="13" t="s">
        <v>1300</v>
      </c>
      <c r="H429" s="5">
        <v>2</v>
      </c>
      <c r="I429" s="8">
        <v>45231</v>
      </c>
      <c r="J429" s="36">
        <v>46691</v>
      </c>
      <c r="K429" s="5" t="s">
        <v>29</v>
      </c>
      <c r="L429" s="5" t="s">
        <v>35</v>
      </c>
      <c r="M429" s="13" t="s">
        <v>1770</v>
      </c>
      <c r="N429" s="37" t="s">
        <v>128</v>
      </c>
      <c r="O429" s="5"/>
      <c r="P429" s="5" t="s">
        <v>1771</v>
      </c>
      <c r="Q429" s="12"/>
      <c r="R429" s="5"/>
      <c r="S429" s="5"/>
      <c r="T429" s="5" t="s">
        <v>39</v>
      </c>
      <c r="U429" s="33">
        <v>35482</v>
      </c>
      <c r="V429" s="5"/>
      <c r="W429" s="5"/>
      <c r="X429" s="5"/>
      <c r="Y429" s="5" t="s">
        <v>88</v>
      </c>
    </row>
    <row r="430" spans="1:25" ht="13.8">
      <c r="A430" s="28" t="s">
        <v>1772</v>
      </c>
      <c r="B430" s="5" t="s">
        <v>26</v>
      </c>
      <c r="C430" s="5" t="s">
        <v>27</v>
      </c>
      <c r="D430" s="29">
        <v>172</v>
      </c>
      <c r="E430" s="30" t="s">
        <v>180</v>
      </c>
      <c r="F430" s="5" t="s">
        <v>181</v>
      </c>
      <c r="G430" s="13" t="s">
        <v>182</v>
      </c>
      <c r="H430" s="5">
        <v>3</v>
      </c>
      <c r="I430" s="8">
        <v>45200</v>
      </c>
      <c r="J430" s="8">
        <v>46660</v>
      </c>
      <c r="K430" s="5" t="s">
        <v>29</v>
      </c>
      <c r="L430" s="5" t="s">
        <v>35</v>
      </c>
      <c r="M430" s="13" t="s">
        <v>1773</v>
      </c>
      <c r="N430" s="5" t="s">
        <v>85</v>
      </c>
      <c r="O430" s="5"/>
      <c r="P430" s="5" t="s">
        <v>1774</v>
      </c>
      <c r="Q430" s="12"/>
      <c r="R430" s="5"/>
      <c r="S430" s="5"/>
      <c r="T430" s="5" t="s">
        <v>39</v>
      </c>
      <c r="U430" s="33">
        <v>36378</v>
      </c>
      <c r="V430" s="5"/>
      <c r="W430" s="5"/>
      <c r="X430" s="5"/>
      <c r="Y430" s="5"/>
    </row>
    <row r="431" spans="1:25" ht="13.8">
      <c r="A431" s="13" t="s">
        <v>1775</v>
      </c>
      <c r="B431" s="5" t="s">
        <v>26</v>
      </c>
      <c r="C431" s="5" t="s">
        <v>27</v>
      </c>
      <c r="D431" s="6" t="s">
        <v>43</v>
      </c>
      <c r="E431" s="7"/>
      <c r="F431" s="5"/>
      <c r="G431" s="5"/>
      <c r="H431" s="5">
        <v>1</v>
      </c>
      <c r="I431" s="8">
        <v>45931</v>
      </c>
      <c r="J431" s="8">
        <v>47391</v>
      </c>
      <c r="K431" s="5" t="s">
        <v>29</v>
      </c>
      <c r="L431" s="5" t="s">
        <v>30</v>
      </c>
      <c r="M431" s="34" t="s">
        <v>1776</v>
      </c>
      <c r="N431" s="5" t="s">
        <v>45</v>
      </c>
      <c r="O431" s="5"/>
      <c r="P431" s="35"/>
      <c r="Q431" s="12"/>
      <c r="R431" s="5"/>
      <c r="S431" s="5"/>
      <c r="T431" s="5"/>
      <c r="U431" s="5"/>
      <c r="V431" s="5"/>
      <c r="W431" s="5"/>
      <c r="X431" s="5"/>
      <c r="Y431" s="5"/>
    </row>
    <row r="432" spans="1:25" ht="13.8">
      <c r="A432" s="5" t="s">
        <v>1777</v>
      </c>
      <c r="B432" s="5" t="s">
        <v>47</v>
      </c>
      <c r="C432" s="5" t="s">
        <v>27</v>
      </c>
      <c r="D432" s="5">
        <v>125</v>
      </c>
      <c r="E432" s="7" t="s">
        <v>104</v>
      </c>
      <c r="F432" s="5"/>
      <c r="G432" s="5" t="s">
        <v>1305</v>
      </c>
      <c r="H432" s="5"/>
      <c r="I432" s="8">
        <v>44470</v>
      </c>
      <c r="J432" s="8">
        <v>46295</v>
      </c>
      <c r="K432" s="5" t="s">
        <v>83</v>
      </c>
      <c r="L432" s="5" t="s">
        <v>35</v>
      </c>
      <c r="M432" s="95" t="s">
        <v>1778</v>
      </c>
      <c r="N432" s="12" t="s">
        <v>270</v>
      </c>
      <c r="O432" s="5"/>
      <c r="P432" s="35"/>
      <c r="Q432" s="12" t="s">
        <v>433</v>
      </c>
      <c r="R432" s="5" t="s">
        <v>757</v>
      </c>
      <c r="S432" s="5" t="s">
        <v>1779</v>
      </c>
      <c r="T432" s="5" t="s">
        <v>39</v>
      </c>
      <c r="U432" s="8">
        <v>35079</v>
      </c>
      <c r="V432" s="5"/>
      <c r="W432" s="5"/>
      <c r="X432" s="5"/>
      <c r="Y432" s="5"/>
    </row>
    <row r="433" spans="1:25" ht="15">
      <c r="A433" s="5" t="s">
        <v>1780</v>
      </c>
      <c r="B433" s="5" t="s">
        <v>26</v>
      </c>
      <c r="C433" s="5" t="s">
        <v>27</v>
      </c>
      <c r="D433" s="5">
        <v>121</v>
      </c>
      <c r="E433" s="7" t="s">
        <v>77</v>
      </c>
      <c r="F433" s="5"/>
      <c r="G433" s="5" t="s">
        <v>363</v>
      </c>
      <c r="H433" s="5">
        <v>2</v>
      </c>
      <c r="I433" s="8">
        <v>45566</v>
      </c>
      <c r="J433" s="9">
        <v>47026</v>
      </c>
      <c r="K433" s="5" t="s">
        <v>29</v>
      </c>
      <c r="L433" s="5" t="s">
        <v>141</v>
      </c>
      <c r="M433" s="5" t="s">
        <v>1781</v>
      </c>
      <c r="N433" s="5" t="s">
        <v>143</v>
      </c>
      <c r="O433" s="5"/>
      <c r="P433" s="44" t="s">
        <v>1782</v>
      </c>
      <c r="Q433" s="12"/>
      <c r="R433" s="5"/>
      <c r="S433" s="5"/>
      <c r="T433" s="5" t="s">
        <v>39</v>
      </c>
      <c r="U433" s="36">
        <v>36127</v>
      </c>
      <c r="V433" s="5"/>
      <c r="W433" s="5"/>
      <c r="X433" s="5"/>
      <c r="Y433" s="5" t="s">
        <v>94</v>
      </c>
    </row>
    <row r="434" spans="1:25" ht="13.8">
      <c r="A434" s="13" t="s">
        <v>1783</v>
      </c>
      <c r="B434" s="5" t="s">
        <v>26</v>
      </c>
      <c r="C434" s="5" t="s">
        <v>27</v>
      </c>
      <c r="D434" s="6" t="s">
        <v>43</v>
      </c>
      <c r="E434" s="7"/>
      <c r="F434" s="5"/>
      <c r="G434" s="5"/>
      <c r="H434" s="5">
        <v>1</v>
      </c>
      <c r="I434" s="8">
        <v>45931</v>
      </c>
      <c r="J434" s="8">
        <v>47391</v>
      </c>
      <c r="K434" s="5" t="s">
        <v>29</v>
      </c>
      <c r="L434" s="5" t="s">
        <v>30</v>
      </c>
      <c r="M434" s="34" t="s">
        <v>1784</v>
      </c>
      <c r="N434" s="5" t="s">
        <v>45</v>
      </c>
      <c r="O434" s="5"/>
      <c r="P434" s="35"/>
      <c r="Q434" s="12"/>
      <c r="R434" s="5"/>
      <c r="S434" s="5"/>
      <c r="T434" s="5"/>
      <c r="U434" s="5"/>
      <c r="V434" s="5"/>
      <c r="W434" s="5"/>
      <c r="X434" s="5"/>
      <c r="Y434" s="5"/>
    </row>
    <row r="435" spans="1:25" ht="13.8">
      <c r="A435" s="13" t="s">
        <v>1785</v>
      </c>
      <c r="B435" s="5" t="s">
        <v>26</v>
      </c>
      <c r="C435" s="5" t="s">
        <v>27</v>
      </c>
      <c r="D435" s="29">
        <v>122</v>
      </c>
      <c r="E435" s="30" t="s">
        <v>28</v>
      </c>
      <c r="F435" s="5"/>
      <c r="G435" s="13" t="s">
        <v>1171</v>
      </c>
      <c r="H435" s="5">
        <v>2</v>
      </c>
      <c r="I435" s="8">
        <v>45231</v>
      </c>
      <c r="J435" s="36">
        <v>46691</v>
      </c>
      <c r="K435" s="5" t="s">
        <v>29</v>
      </c>
      <c r="L435" s="5" t="s">
        <v>35</v>
      </c>
      <c r="M435" s="13" t="s">
        <v>1786</v>
      </c>
      <c r="N435" s="37" t="s">
        <v>128</v>
      </c>
      <c r="O435" s="5"/>
      <c r="P435" s="5" t="s">
        <v>1787</v>
      </c>
      <c r="Q435" s="12"/>
      <c r="R435" s="5"/>
      <c r="S435" s="5"/>
      <c r="T435" s="31" t="s">
        <v>39</v>
      </c>
      <c r="U435" s="33">
        <v>35705</v>
      </c>
      <c r="V435" s="5"/>
      <c r="W435" s="5"/>
      <c r="X435" s="5"/>
      <c r="Y435" s="5" t="s">
        <v>31</v>
      </c>
    </row>
    <row r="436" spans="1:25" ht="15">
      <c r="A436" s="5" t="s">
        <v>1788</v>
      </c>
      <c r="B436" s="5" t="s">
        <v>26</v>
      </c>
      <c r="C436" s="5" t="s">
        <v>27</v>
      </c>
      <c r="D436" s="5">
        <v>122</v>
      </c>
      <c r="E436" s="7" t="s">
        <v>28</v>
      </c>
      <c r="F436" s="5"/>
      <c r="G436" s="5" t="s">
        <v>1789</v>
      </c>
      <c r="H436" s="5">
        <v>2</v>
      </c>
      <c r="I436" s="8">
        <v>45566</v>
      </c>
      <c r="J436" s="9">
        <v>47026</v>
      </c>
      <c r="K436" s="5" t="s">
        <v>29</v>
      </c>
      <c r="L436" s="5" t="s">
        <v>141</v>
      </c>
      <c r="M436" s="5" t="s">
        <v>1790</v>
      </c>
      <c r="N436" s="5" t="s">
        <v>143</v>
      </c>
      <c r="O436" s="5"/>
      <c r="P436" s="44" t="s">
        <v>1791</v>
      </c>
      <c r="Q436" s="12"/>
      <c r="R436" s="5"/>
      <c r="S436" s="5"/>
      <c r="T436" s="5" t="s">
        <v>39</v>
      </c>
      <c r="U436" s="36">
        <v>36814</v>
      </c>
      <c r="V436" s="5"/>
      <c r="W436" s="5"/>
      <c r="X436" s="5"/>
      <c r="Y436" s="5" t="s">
        <v>31</v>
      </c>
    </row>
    <row r="437" spans="1:25" ht="13.8">
      <c r="A437" s="28" t="s">
        <v>1792</v>
      </c>
      <c r="B437" s="5" t="s">
        <v>26</v>
      </c>
      <c r="C437" s="5" t="s">
        <v>27</v>
      </c>
      <c r="D437" s="29">
        <v>174</v>
      </c>
      <c r="E437" s="30" t="s">
        <v>138</v>
      </c>
      <c r="F437" s="5" t="s">
        <v>139</v>
      </c>
      <c r="G437" s="13" t="s">
        <v>258</v>
      </c>
      <c r="H437" s="5">
        <v>3</v>
      </c>
      <c r="I437" s="8">
        <v>45200</v>
      </c>
      <c r="J437" s="8">
        <v>46660</v>
      </c>
      <c r="K437" s="5" t="s">
        <v>29</v>
      </c>
      <c r="L437" s="5" t="s">
        <v>50</v>
      </c>
      <c r="M437" s="13" t="s">
        <v>1793</v>
      </c>
      <c r="N437" s="5" t="s">
        <v>85</v>
      </c>
      <c r="O437" s="5"/>
      <c r="P437" s="5" t="s">
        <v>1794</v>
      </c>
      <c r="Q437" s="12"/>
      <c r="R437" s="5"/>
      <c r="S437" s="5"/>
      <c r="T437" s="31" t="s">
        <v>39</v>
      </c>
      <c r="U437" s="33">
        <v>36354</v>
      </c>
      <c r="V437" s="5"/>
      <c r="W437" s="5"/>
      <c r="X437" s="5"/>
      <c r="Y437" s="5"/>
    </row>
    <row r="438" spans="1:25" ht="13.8">
      <c r="A438" s="28" t="s">
        <v>1795</v>
      </c>
      <c r="B438" s="5" t="s">
        <v>26</v>
      </c>
      <c r="C438" s="5" t="s">
        <v>27</v>
      </c>
      <c r="D438" s="29">
        <v>172</v>
      </c>
      <c r="E438" s="30" t="s">
        <v>1593</v>
      </c>
      <c r="F438" s="5" t="s">
        <v>1594</v>
      </c>
      <c r="G438" s="13" t="s">
        <v>1796</v>
      </c>
      <c r="H438" s="5">
        <v>3</v>
      </c>
      <c r="I438" s="8">
        <v>45200</v>
      </c>
      <c r="J438" s="8">
        <v>46660</v>
      </c>
      <c r="K438" s="5" t="s">
        <v>29</v>
      </c>
      <c r="L438" s="5" t="s">
        <v>35</v>
      </c>
      <c r="M438" s="13" t="s">
        <v>1797</v>
      </c>
      <c r="N438" s="5" t="s">
        <v>85</v>
      </c>
      <c r="O438" s="5"/>
      <c r="P438" s="5" t="s">
        <v>1798</v>
      </c>
      <c r="Q438" s="12"/>
      <c r="R438" s="5"/>
      <c r="S438" s="5"/>
      <c r="T438" s="31" t="s">
        <v>39</v>
      </c>
      <c r="U438" s="33">
        <v>36408</v>
      </c>
      <c r="V438" s="5"/>
      <c r="W438" s="5"/>
      <c r="X438" s="5"/>
      <c r="Y438" s="5"/>
    </row>
    <row r="439" spans="1:25" ht="13.8">
      <c r="A439" s="5" t="s">
        <v>1799</v>
      </c>
      <c r="B439" s="5" t="s">
        <v>47</v>
      </c>
      <c r="C439" s="5" t="s">
        <v>27</v>
      </c>
      <c r="D439" s="5">
        <v>163</v>
      </c>
      <c r="E439" s="7" t="s">
        <v>90</v>
      </c>
      <c r="F439" s="5"/>
      <c r="G439" s="5" t="s">
        <v>1710</v>
      </c>
      <c r="H439" s="5"/>
      <c r="I439" s="48">
        <v>44470</v>
      </c>
      <c r="J439" s="48">
        <v>45929</v>
      </c>
      <c r="K439" s="5" t="s">
        <v>29</v>
      </c>
      <c r="L439" s="5" t="s">
        <v>30</v>
      </c>
      <c r="M439" s="49" t="s">
        <v>1800</v>
      </c>
      <c r="N439" s="12" t="s">
        <v>270</v>
      </c>
      <c r="O439" s="5" t="s">
        <v>271</v>
      </c>
      <c r="P439" s="53" t="s">
        <v>1801</v>
      </c>
      <c r="Q439" s="5" t="s">
        <v>664</v>
      </c>
      <c r="R439" s="5" t="s">
        <v>492</v>
      </c>
      <c r="S439" s="5"/>
      <c r="T439" s="5" t="s">
        <v>39</v>
      </c>
      <c r="U439" s="48">
        <v>35402</v>
      </c>
      <c r="V439" s="50" t="s">
        <v>1802</v>
      </c>
      <c r="W439" s="5" t="s">
        <v>40</v>
      </c>
      <c r="X439" s="5">
        <v>2020</v>
      </c>
      <c r="Y439" s="5"/>
    </row>
    <row r="440" spans="1:25" ht="13.8">
      <c r="A440" s="13" t="s">
        <v>1803</v>
      </c>
      <c r="B440" s="5" t="s">
        <v>26</v>
      </c>
      <c r="C440" s="5" t="s">
        <v>27</v>
      </c>
      <c r="D440" s="29">
        <v>163</v>
      </c>
      <c r="E440" s="30" t="s">
        <v>90</v>
      </c>
      <c r="F440" s="5"/>
      <c r="G440" s="13" t="s">
        <v>1710</v>
      </c>
      <c r="H440" s="5">
        <v>2</v>
      </c>
      <c r="I440" s="8">
        <v>45231</v>
      </c>
      <c r="J440" s="36">
        <v>46691</v>
      </c>
      <c r="K440" s="5" t="s">
        <v>29</v>
      </c>
      <c r="L440" s="5" t="s">
        <v>35</v>
      </c>
      <c r="M440" s="13" t="s">
        <v>1804</v>
      </c>
      <c r="N440" s="37" t="s">
        <v>128</v>
      </c>
      <c r="O440" s="5"/>
      <c r="P440" s="5" t="s">
        <v>1805</v>
      </c>
      <c r="Q440" s="12"/>
      <c r="R440" s="5"/>
      <c r="S440" s="5"/>
      <c r="T440" s="37" t="s">
        <v>39</v>
      </c>
      <c r="U440" s="33">
        <v>35313</v>
      </c>
      <c r="V440" s="5"/>
      <c r="W440" s="5"/>
      <c r="X440" s="5"/>
      <c r="Y440" s="5" t="s">
        <v>94</v>
      </c>
    </row>
    <row r="441" spans="1:25" ht="15">
      <c r="A441" s="5" t="s">
        <v>1806</v>
      </c>
      <c r="B441" s="5" t="s">
        <v>26</v>
      </c>
      <c r="C441" s="5" t="s">
        <v>27</v>
      </c>
      <c r="D441" s="5">
        <v>121</v>
      </c>
      <c r="E441" s="7" t="s">
        <v>77</v>
      </c>
      <c r="F441" s="5"/>
      <c r="G441" s="5" t="s">
        <v>1807</v>
      </c>
      <c r="H441" s="5">
        <v>2</v>
      </c>
      <c r="I441" s="8">
        <v>45566</v>
      </c>
      <c r="J441" s="9">
        <v>47026</v>
      </c>
      <c r="K441" s="5" t="s">
        <v>29</v>
      </c>
      <c r="L441" s="5" t="s">
        <v>141</v>
      </c>
      <c r="M441" s="5" t="s">
        <v>1808</v>
      </c>
      <c r="N441" s="5" t="s">
        <v>143</v>
      </c>
      <c r="O441" s="5"/>
      <c r="P441" s="44" t="s">
        <v>1809</v>
      </c>
      <c r="Q441" s="12"/>
      <c r="R441" s="5"/>
      <c r="S441" s="5"/>
      <c r="T441" s="5" t="s">
        <v>39</v>
      </c>
      <c r="U441" s="36">
        <v>36453</v>
      </c>
      <c r="V441" s="5"/>
      <c r="W441" s="5"/>
      <c r="X441" s="5"/>
      <c r="Y441" s="5" t="s">
        <v>94</v>
      </c>
    </row>
    <row r="442" spans="1:25" ht="13.8">
      <c r="A442" s="28" t="s">
        <v>1810</v>
      </c>
      <c r="B442" s="5" t="s">
        <v>26</v>
      </c>
      <c r="C442" s="5" t="s">
        <v>27</v>
      </c>
      <c r="D442" s="29">
        <v>172</v>
      </c>
      <c r="E442" s="30" t="s">
        <v>278</v>
      </c>
      <c r="F442" s="5"/>
      <c r="G442" s="13" t="s">
        <v>1515</v>
      </c>
      <c r="H442" s="5">
        <v>3</v>
      </c>
      <c r="I442" s="8">
        <v>45200</v>
      </c>
      <c r="J442" s="8">
        <v>46660</v>
      </c>
      <c r="K442" s="5" t="s">
        <v>29</v>
      </c>
      <c r="L442" s="5" t="s">
        <v>50</v>
      </c>
      <c r="M442" s="13" t="s">
        <v>1811</v>
      </c>
      <c r="N442" s="5" t="s">
        <v>85</v>
      </c>
      <c r="O442" s="5"/>
      <c r="P442" s="5" t="s">
        <v>1812</v>
      </c>
      <c r="Q442" s="12"/>
      <c r="R442" s="5"/>
      <c r="S442" s="5"/>
      <c r="T442" s="31" t="s">
        <v>39</v>
      </c>
      <c r="U442" s="32">
        <v>36460</v>
      </c>
      <c r="V442" s="5"/>
      <c r="W442" s="5"/>
      <c r="X442" s="5"/>
      <c r="Y442" s="5" t="s">
        <v>266</v>
      </c>
    </row>
    <row r="443" spans="1:25" ht="13.8">
      <c r="A443" s="13" t="s">
        <v>1813</v>
      </c>
      <c r="B443" s="5" t="s">
        <v>26</v>
      </c>
      <c r="C443" s="5" t="s">
        <v>27</v>
      </c>
      <c r="D443" s="6" t="s">
        <v>980</v>
      </c>
      <c r="E443" s="7"/>
      <c r="F443" s="5"/>
      <c r="G443" s="5"/>
      <c r="H443" s="5">
        <v>1</v>
      </c>
      <c r="I443" s="8">
        <v>45931</v>
      </c>
      <c r="J443" s="8">
        <v>47391</v>
      </c>
      <c r="K443" s="5" t="s">
        <v>29</v>
      </c>
      <c r="L443" s="5" t="s">
        <v>30</v>
      </c>
      <c r="M443" s="34" t="s">
        <v>1814</v>
      </c>
      <c r="N443" s="5" t="s">
        <v>45</v>
      </c>
      <c r="O443" s="5"/>
      <c r="P443" s="35"/>
      <c r="Q443" s="12"/>
      <c r="R443" s="5"/>
      <c r="S443" s="5"/>
      <c r="T443" s="5"/>
      <c r="U443" s="5"/>
      <c r="V443" s="5"/>
      <c r="W443" s="5"/>
      <c r="X443" s="5"/>
      <c r="Y443" s="5"/>
    </row>
    <row r="444" spans="1:25" ht="15">
      <c r="A444" s="5" t="s">
        <v>1815</v>
      </c>
      <c r="B444" s="5" t="s">
        <v>26</v>
      </c>
      <c r="C444" s="5" t="s">
        <v>27</v>
      </c>
      <c r="D444" s="5">
        <v>126</v>
      </c>
      <c r="E444" s="7" t="s">
        <v>80</v>
      </c>
      <c r="F444" s="5" t="s">
        <v>81</v>
      </c>
      <c r="G444" s="5" t="s">
        <v>350</v>
      </c>
      <c r="H444" s="5">
        <v>2</v>
      </c>
      <c r="I444" s="8">
        <v>45566</v>
      </c>
      <c r="J444" s="9">
        <v>47026</v>
      </c>
      <c r="K444" s="5" t="s">
        <v>29</v>
      </c>
      <c r="L444" s="5" t="s">
        <v>141</v>
      </c>
      <c r="M444" s="5" t="s">
        <v>1816</v>
      </c>
      <c r="N444" s="5" t="s">
        <v>143</v>
      </c>
      <c r="O444" s="5"/>
      <c r="P444" s="44" t="s">
        <v>1817</v>
      </c>
      <c r="Q444" s="12"/>
      <c r="R444" s="5"/>
      <c r="S444" s="5"/>
      <c r="T444" s="5" t="s">
        <v>39</v>
      </c>
      <c r="U444" s="8">
        <v>36382</v>
      </c>
      <c r="V444" s="5"/>
      <c r="W444" s="5"/>
      <c r="X444" s="5"/>
      <c r="Y444" s="5" t="s">
        <v>88</v>
      </c>
    </row>
    <row r="445" spans="1:25" ht="13.8">
      <c r="A445" s="13" t="s">
        <v>1818</v>
      </c>
      <c r="B445" s="5" t="s">
        <v>26</v>
      </c>
      <c r="C445" s="5" t="s">
        <v>27</v>
      </c>
      <c r="D445" s="5">
        <v>121</v>
      </c>
      <c r="E445" s="7" t="s">
        <v>77</v>
      </c>
      <c r="F445" s="5"/>
      <c r="G445" s="5" t="s">
        <v>307</v>
      </c>
      <c r="H445" s="5">
        <v>3</v>
      </c>
      <c r="I445" s="8">
        <v>45047</v>
      </c>
      <c r="J445" s="8">
        <v>46507</v>
      </c>
      <c r="K445" s="5" t="s">
        <v>29</v>
      </c>
      <c r="L445" s="5" t="s">
        <v>35</v>
      </c>
      <c r="M445" s="60" t="s">
        <v>1819</v>
      </c>
      <c r="N445" s="12" t="s">
        <v>37</v>
      </c>
      <c r="O445" s="5"/>
      <c r="P445" s="72" t="s">
        <v>1820</v>
      </c>
      <c r="Q445" s="12"/>
      <c r="R445" s="5"/>
      <c r="S445" s="5" t="s">
        <v>1821</v>
      </c>
      <c r="T445" s="5" t="s">
        <v>39</v>
      </c>
      <c r="U445" s="16">
        <v>33621</v>
      </c>
      <c r="V445" s="5">
        <v>636951133</v>
      </c>
      <c r="W445" s="5" t="s">
        <v>40</v>
      </c>
      <c r="X445" s="6">
        <v>2014</v>
      </c>
      <c r="Y445" s="5" t="s">
        <v>94</v>
      </c>
    </row>
    <row r="446" spans="1:25" ht="15">
      <c r="A446" s="5" t="s">
        <v>1822</v>
      </c>
      <c r="B446" s="5" t="s">
        <v>26</v>
      </c>
      <c r="C446" s="5" t="s">
        <v>27</v>
      </c>
      <c r="D446" s="5">
        <v>171</v>
      </c>
      <c r="E446" s="7" t="s">
        <v>115</v>
      </c>
      <c r="F446" s="5"/>
      <c r="G446" s="5" t="s">
        <v>234</v>
      </c>
      <c r="H446" s="5">
        <v>2</v>
      </c>
      <c r="I446" s="8">
        <v>45566</v>
      </c>
      <c r="J446" s="9">
        <v>47026</v>
      </c>
      <c r="K446" s="5" t="s">
        <v>29</v>
      </c>
      <c r="L446" s="5" t="s">
        <v>141</v>
      </c>
      <c r="M446" s="5" t="s">
        <v>1823</v>
      </c>
      <c r="N446" s="5" t="s">
        <v>143</v>
      </c>
      <c r="O446" s="5"/>
      <c r="P446" s="44" t="s">
        <v>1824</v>
      </c>
      <c r="Q446" s="12"/>
      <c r="R446" s="5"/>
      <c r="S446" s="5"/>
      <c r="T446" s="5" t="s">
        <v>39</v>
      </c>
      <c r="U446" s="8">
        <v>37038</v>
      </c>
      <c r="V446" s="5"/>
      <c r="W446" s="5"/>
      <c r="X446" s="5"/>
      <c r="Y446" s="5" t="s">
        <v>160</v>
      </c>
    </row>
    <row r="447" spans="1:25" ht="13.8">
      <c r="A447" s="28" t="s">
        <v>1825</v>
      </c>
      <c r="B447" s="5" t="s">
        <v>26</v>
      </c>
      <c r="C447" s="5" t="s">
        <v>27</v>
      </c>
      <c r="D447" s="29">
        <v>51</v>
      </c>
      <c r="E447" s="30" t="s">
        <v>192</v>
      </c>
      <c r="F447" s="5" t="s">
        <v>193</v>
      </c>
      <c r="G447" s="13" t="s">
        <v>1826</v>
      </c>
      <c r="H447" s="5">
        <v>3</v>
      </c>
      <c r="I447" s="8">
        <v>45200</v>
      </c>
      <c r="J447" s="8">
        <v>46660</v>
      </c>
      <c r="K447" s="5" t="s">
        <v>29</v>
      </c>
      <c r="L447" s="5" t="s">
        <v>35</v>
      </c>
      <c r="M447" s="13" t="s">
        <v>1827</v>
      </c>
      <c r="N447" s="5" t="s">
        <v>85</v>
      </c>
      <c r="O447" s="5"/>
      <c r="P447" s="5" t="s">
        <v>1828</v>
      </c>
      <c r="Q447" s="12"/>
      <c r="R447" s="5"/>
      <c r="S447" s="5"/>
      <c r="T447" s="31" t="s">
        <v>39</v>
      </c>
      <c r="U447" s="33">
        <v>34911</v>
      </c>
      <c r="V447" s="5"/>
      <c r="W447" s="5"/>
      <c r="X447" s="5"/>
      <c r="Y447" s="5" t="s">
        <v>41</v>
      </c>
    </row>
    <row r="448" spans="1:25" ht="15">
      <c r="A448" s="5" t="s">
        <v>1829</v>
      </c>
      <c r="B448" s="5" t="s">
        <v>26</v>
      </c>
      <c r="C448" s="5" t="s">
        <v>27</v>
      </c>
      <c r="D448" s="5">
        <v>171</v>
      </c>
      <c r="E448" s="7" t="s">
        <v>115</v>
      </c>
      <c r="F448" s="5"/>
      <c r="G448" s="5" t="s">
        <v>1259</v>
      </c>
      <c r="H448" s="5">
        <v>2</v>
      </c>
      <c r="I448" s="8">
        <v>45566</v>
      </c>
      <c r="J448" s="9">
        <v>47026</v>
      </c>
      <c r="K448" s="5" t="s">
        <v>29</v>
      </c>
      <c r="L448" s="5" t="s">
        <v>141</v>
      </c>
      <c r="M448" s="5" t="s">
        <v>1830</v>
      </c>
      <c r="N448" s="5" t="s">
        <v>143</v>
      </c>
      <c r="O448" s="5"/>
      <c r="P448" s="44" t="s">
        <v>1831</v>
      </c>
      <c r="Q448" s="12"/>
      <c r="R448" s="5"/>
      <c r="S448" s="5"/>
      <c r="T448" s="5" t="s">
        <v>39</v>
      </c>
      <c r="U448" s="8">
        <v>35560</v>
      </c>
      <c r="V448" s="5"/>
      <c r="W448" s="5"/>
      <c r="X448" s="5"/>
      <c r="Y448" s="5" t="s">
        <v>160</v>
      </c>
    </row>
    <row r="449" spans="1:25" ht="13.8">
      <c r="A449" s="28" t="s">
        <v>1832</v>
      </c>
      <c r="B449" s="5" t="s">
        <v>47</v>
      </c>
      <c r="C449" s="5" t="s">
        <v>27</v>
      </c>
      <c r="D449" s="29">
        <v>122</v>
      </c>
      <c r="E449" s="30" t="s">
        <v>33</v>
      </c>
      <c r="F449" s="5"/>
      <c r="G449" s="13" t="s">
        <v>1833</v>
      </c>
      <c r="H449" s="5"/>
      <c r="I449" s="8">
        <v>45200</v>
      </c>
      <c r="J449" s="8">
        <v>45930</v>
      </c>
      <c r="K449" s="5" t="s">
        <v>29</v>
      </c>
      <c r="L449" s="5" t="s">
        <v>35</v>
      </c>
      <c r="M449" s="13" t="s">
        <v>1834</v>
      </c>
      <c r="N449" s="5" t="s">
        <v>85</v>
      </c>
      <c r="O449" s="5"/>
      <c r="P449" s="5" t="s">
        <v>1835</v>
      </c>
      <c r="Q449" s="12" t="s">
        <v>789</v>
      </c>
      <c r="R449" s="5" t="s">
        <v>1836</v>
      </c>
      <c r="S449" s="5"/>
      <c r="T449" s="31" t="s">
        <v>39</v>
      </c>
      <c r="U449" s="33">
        <v>36165</v>
      </c>
      <c r="V449" s="5"/>
      <c r="W449" s="5"/>
      <c r="X449" s="5"/>
      <c r="Y449" s="5"/>
    </row>
    <row r="450" spans="1:25" ht="13.8">
      <c r="A450" s="13" t="s">
        <v>1837</v>
      </c>
      <c r="B450" s="5" t="s">
        <v>26</v>
      </c>
      <c r="C450" s="5" t="s">
        <v>27</v>
      </c>
      <c r="D450" s="6" t="s">
        <v>43</v>
      </c>
      <c r="E450" s="7"/>
      <c r="F450" s="5"/>
      <c r="G450" s="5"/>
      <c r="H450" s="5">
        <v>1</v>
      </c>
      <c r="I450" s="8">
        <v>45931</v>
      </c>
      <c r="J450" s="8">
        <v>47391</v>
      </c>
      <c r="K450" s="5" t="s">
        <v>29</v>
      </c>
      <c r="L450" s="5" t="s">
        <v>30</v>
      </c>
      <c r="M450" s="34" t="s">
        <v>1838</v>
      </c>
      <c r="N450" s="5" t="s">
        <v>45</v>
      </c>
      <c r="O450" s="5"/>
      <c r="P450" s="35"/>
      <c r="Q450" s="12"/>
      <c r="R450" s="5"/>
      <c r="S450" s="5"/>
      <c r="T450" s="5"/>
      <c r="U450" s="5"/>
      <c r="V450" s="5"/>
      <c r="W450" s="5"/>
      <c r="X450" s="5"/>
      <c r="Y450" s="5"/>
    </row>
    <row r="451" spans="1:25" ht="13.8">
      <c r="A451" s="5" t="s">
        <v>1839</v>
      </c>
      <c r="B451" s="5" t="s">
        <v>47</v>
      </c>
      <c r="C451" s="5" t="s">
        <v>27</v>
      </c>
      <c r="D451" s="5">
        <v>151</v>
      </c>
      <c r="E451" s="7" t="s">
        <v>138</v>
      </c>
      <c r="F451" s="5" t="s">
        <v>139</v>
      </c>
      <c r="G451" s="5" t="s">
        <v>140</v>
      </c>
      <c r="H451" s="5"/>
      <c r="I451" s="48">
        <v>44470</v>
      </c>
      <c r="J451" s="48">
        <v>45923</v>
      </c>
      <c r="K451" s="5" t="s">
        <v>29</v>
      </c>
      <c r="L451" s="5" t="s">
        <v>30</v>
      </c>
      <c r="M451" s="49" t="s">
        <v>1840</v>
      </c>
      <c r="N451" s="12" t="s">
        <v>270</v>
      </c>
      <c r="O451" s="5" t="s">
        <v>271</v>
      </c>
      <c r="P451" s="53" t="s">
        <v>1841</v>
      </c>
      <c r="Q451" s="12" t="s">
        <v>491</v>
      </c>
      <c r="R451" s="5" t="s">
        <v>492</v>
      </c>
      <c r="S451" s="5"/>
      <c r="T451" s="5" t="s">
        <v>39</v>
      </c>
      <c r="U451" s="48">
        <v>35933</v>
      </c>
      <c r="V451" s="50" t="s">
        <v>1842</v>
      </c>
      <c r="W451" s="5" t="s">
        <v>40</v>
      </c>
      <c r="X451" s="5">
        <v>2020</v>
      </c>
      <c r="Y451" s="5"/>
    </row>
    <row r="452" spans="1:25" ht="13.8">
      <c r="A452" s="28" t="s">
        <v>1843</v>
      </c>
      <c r="B452" s="83" t="s">
        <v>26</v>
      </c>
      <c r="C452" s="5" t="s">
        <v>27</v>
      </c>
      <c r="D452" s="29">
        <v>122</v>
      </c>
      <c r="E452" s="30" t="s">
        <v>33</v>
      </c>
      <c r="F452" s="5"/>
      <c r="G452" s="13" t="s">
        <v>774</v>
      </c>
      <c r="H452" s="5">
        <v>3</v>
      </c>
      <c r="I452" s="8">
        <v>45200</v>
      </c>
      <c r="J452" s="8">
        <v>46660</v>
      </c>
      <c r="K452" s="5" t="s">
        <v>508</v>
      </c>
      <c r="L452" s="5" t="s">
        <v>50</v>
      </c>
      <c r="M452" s="13" t="s">
        <v>1844</v>
      </c>
      <c r="N452" s="5" t="s">
        <v>85</v>
      </c>
      <c r="O452" s="5"/>
      <c r="P452" s="5" t="s">
        <v>1845</v>
      </c>
      <c r="Q452" s="12"/>
      <c r="R452" s="5"/>
      <c r="S452" s="5"/>
      <c r="T452" s="31" t="s">
        <v>39</v>
      </c>
      <c r="U452" s="33">
        <v>34115</v>
      </c>
      <c r="V452" s="5"/>
      <c r="W452" s="5"/>
      <c r="X452" s="5"/>
      <c r="Y452" s="5" t="s">
        <v>41</v>
      </c>
    </row>
    <row r="453" spans="1:25" ht="15">
      <c r="A453" s="5" t="s">
        <v>1846</v>
      </c>
      <c r="B453" s="5" t="s">
        <v>26</v>
      </c>
      <c r="C453" s="5" t="s">
        <v>27</v>
      </c>
      <c r="D453" s="5">
        <v>121</v>
      </c>
      <c r="E453" s="7" t="s">
        <v>77</v>
      </c>
      <c r="F453" s="5"/>
      <c r="G453" s="5" t="s">
        <v>1847</v>
      </c>
      <c r="H453" s="5">
        <v>2</v>
      </c>
      <c r="I453" s="8">
        <v>45566</v>
      </c>
      <c r="J453" s="9">
        <v>47026</v>
      </c>
      <c r="K453" s="5" t="s">
        <v>29</v>
      </c>
      <c r="L453" s="5" t="s">
        <v>141</v>
      </c>
      <c r="M453" s="5" t="s">
        <v>1848</v>
      </c>
      <c r="N453" s="5" t="s">
        <v>143</v>
      </c>
      <c r="O453" s="5"/>
      <c r="P453" s="44" t="s">
        <v>1849</v>
      </c>
      <c r="Q453" s="12"/>
      <c r="R453" s="5"/>
      <c r="S453" s="5"/>
      <c r="T453" s="5" t="s">
        <v>39</v>
      </c>
      <c r="U453" s="36">
        <v>36878</v>
      </c>
      <c r="V453" s="5"/>
      <c r="W453" s="5"/>
      <c r="X453" s="5"/>
      <c r="Y453" s="5" t="s">
        <v>94</v>
      </c>
    </row>
    <row r="454" spans="1:25" ht="13.8">
      <c r="A454" s="13" t="s">
        <v>1850</v>
      </c>
      <c r="B454" s="5" t="s">
        <v>47</v>
      </c>
      <c r="C454" s="5" t="s">
        <v>27</v>
      </c>
      <c r="D454" s="5">
        <v>122</v>
      </c>
      <c r="E454" s="7" t="s">
        <v>33</v>
      </c>
      <c r="F454" s="5"/>
      <c r="G454" s="5" t="s">
        <v>1377</v>
      </c>
      <c r="H454" s="5"/>
      <c r="I454" s="8">
        <v>45047</v>
      </c>
      <c r="J454" s="8">
        <v>45930</v>
      </c>
      <c r="K454" s="5" t="s">
        <v>29</v>
      </c>
      <c r="L454" s="5" t="s">
        <v>35</v>
      </c>
      <c r="M454" s="53" t="s">
        <v>1851</v>
      </c>
      <c r="N454" s="12" t="s">
        <v>37</v>
      </c>
      <c r="O454" s="5"/>
      <c r="P454" s="72" t="s">
        <v>1852</v>
      </c>
      <c r="Q454" s="12" t="s">
        <v>433</v>
      </c>
      <c r="R454" s="5" t="s">
        <v>434</v>
      </c>
      <c r="S454" s="5"/>
      <c r="T454" s="5" t="s">
        <v>39</v>
      </c>
      <c r="U454" s="16">
        <v>35409</v>
      </c>
      <c r="V454" s="5">
        <f>380672602870</f>
        <v>380672602870</v>
      </c>
      <c r="W454" s="5" t="s">
        <v>40</v>
      </c>
      <c r="X454" s="6">
        <v>2020</v>
      </c>
      <c r="Y454" s="5"/>
    </row>
    <row r="455" spans="1:25" ht="13.8">
      <c r="A455" s="13" t="s">
        <v>1853</v>
      </c>
      <c r="B455" s="5" t="s">
        <v>26</v>
      </c>
      <c r="C455" s="5" t="s">
        <v>27</v>
      </c>
      <c r="D455" s="5">
        <v>51</v>
      </c>
      <c r="E455" s="7" t="s">
        <v>192</v>
      </c>
      <c r="F455" s="5"/>
      <c r="G455" s="5" t="s">
        <v>1420</v>
      </c>
      <c r="H455" s="5">
        <v>3</v>
      </c>
      <c r="I455" s="8">
        <v>45047</v>
      </c>
      <c r="J455" s="8">
        <v>46507</v>
      </c>
      <c r="K455" s="5" t="s">
        <v>29</v>
      </c>
      <c r="L455" s="5" t="s">
        <v>35</v>
      </c>
      <c r="M455" s="13" t="s">
        <v>1854</v>
      </c>
      <c r="N455" s="12" t="s">
        <v>37</v>
      </c>
      <c r="O455" s="5"/>
      <c r="P455" s="72" t="s">
        <v>1855</v>
      </c>
      <c r="Q455" s="12"/>
      <c r="R455" s="5"/>
      <c r="S455" s="5"/>
      <c r="T455" s="5" t="s">
        <v>39</v>
      </c>
      <c r="U455" s="16">
        <v>27562</v>
      </c>
      <c r="V455" s="5">
        <f>380504454947</f>
        <v>380504454947</v>
      </c>
      <c r="W455" s="5" t="s">
        <v>1856</v>
      </c>
      <c r="X455" s="6">
        <v>1997</v>
      </c>
      <c r="Y455" s="5" t="s">
        <v>41</v>
      </c>
    </row>
    <row r="456" spans="1:25" ht="13.8">
      <c r="A456" s="28" t="s">
        <v>1857</v>
      </c>
      <c r="B456" s="5" t="s">
        <v>26</v>
      </c>
      <c r="C456" s="5" t="s">
        <v>27</v>
      </c>
      <c r="D456" s="29">
        <v>105</v>
      </c>
      <c r="E456" s="30" t="s">
        <v>216</v>
      </c>
      <c r="F456" s="5"/>
      <c r="G456" s="13" t="s">
        <v>682</v>
      </c>
      <c r="H456" s="5">
        <v>3</v>
      </c>
      <c r="I456" s="8">
        <v>45200</v>
      </c>
      <c r="J456" s="8">
        <v>46660</v>
      </c>
      <c r="K456" s="5" t="s">
        <v>29</v>
      </c>
      <c r="L456" s="5" t="s">
        <v>35</v>
      </c>
      <c r="M456" s="13" t="s">
        <v>1858</v>
      </c>
      <c r="N456" s="5" t="s">
        <v>85</v>
      </c>
      <c r="O456" s="5"/>
      <c r="P456" s="5" t="s">
        <v>1859</v>
      </c>
      <c r="Q456" s="12"/>
      <c r="R456" s="5"/>
      <c r="S456" s="5"/>
      <c r="T456" s="31" t="s">
        <v>39</v>
      </c>
      <c r="U456" s="33">
        <v>30430</v>
      </c>
      <c r="V456" s="5"/>
      <c r="W456" s="5"/>
      <c r="X456" s="5"/>
      <c r="Y456" s="5" t="s">
        <v>220</v>
      </c>
    </row>
    <row r="457" spans="1:25" ht="15">
      <c r="A457" s="5" t="s">
        <v>1860</v>
      </c>
      <c r="B457" s="5" t="s">
        <v>26</v>
      </c>
      <c r="C457" s="5" t="s">
        <v>27</v>
      </c>
      <c r="D457" s="5">
        <v>174</v>
      </c>
      <c r="E457" s="7" t="s">
        <v>138</v>
      </c>
      <c r="F457" s="5" t="s">
        <v>139</v>
      </c>
      <c r="G457" s="5" t="s">
        <v>1861</v>
      </c>
      <c r="H457" s="5">
        <v>2</v>
      </c>
      <c r="I457" s="8">
        <v>45566</v>
      </c>
      <c r="J457" s="9">
        <v>47026</v>
      </c>
      <c r="K457" s="5" t="s">
        <v>29</v>
      </c>
      <c r="L457" s="5" t="s">
        <v>141</v>
      </c>
      <c r="M457" s="5" t="s">
        <v>1862</v>
      </c>
      <c r="N457" s="5" t="s">
        <v>143</v>
      </c>
      <c r="O457" s="5"/>
      <c r="P457" s="44" t="s">
        <v>1863</v>
      </c>
      <c r="Q457" s="12"/>
      <c r="R457" s="5"/>
      <c r="S457" s="5"/>
      <c r="T457" s="5" t="s">
        <v>39</v>
      </c>
      <c r="U457" s="36">
        <v>37175</v>
      </c>
      <c r="V457" s="5"/>
      <c r="W457" s="5"/>
      <c r="X457" s="5"/>
      <c r="Y457" s="5"/>
    </row>
    <row r="458" spans="1:25" ht="13.8">
      <c r="A458" s="28" t="s">
        <v>1864</v>
      </c>
      <c r="B458" s="5" t="s">
        <v>26</v>
      </c>
      <c r="C458" s="5" t="s">
        <v>27</v>
      </c>
      <c r="D458" s="29">
        <v>122</v>
      </c>
      <c r="E458" s="30" t="s">
        <v>124</v>
      </c>
      <c r="F458" s="5" t="s">
        <v>125</v>
      </c>
      <c r="G458" s="13" t="s">
        <v>606</v>
      </c>
      <c r="H458" s="5">
        <v>3</v>
      </c>
      <c r="I458" s="8">
        <v>45200</v>
      </c>
      <c r="J458" s="8">
        <v>46660</v>
      </c>
      <c r="K458" s="5" t="s">
        <v>29</v>
      </c>
      <c r="L458" s="5" t="s">
        <v>35</v>
      </c>
      <c r="M458" s="13" t="s">
        <v>1865</v>
      </c>
      <c r="N458" s="5" t="s">
        <v>85</v>
      </c>
      <c r="O458" s="5"/>
      <c r="P458" s="5" t="s">
        <v>1866</v>
      </c>
      <c r="Q458" s="12"/>
      <c r="R458" s="5"/>
      <c r="S458" s="5" t="s">
        <v>1867</v>
      </c>
      <c r="T458" s="31" t="s">
        <v>39</v>
      </c>
      <c r="U458" s="33">
        <v>35712</v>
      </c>
      <c r="V458" s="5"/>
      <c r="W458" s="5"/>
      <c r="X458" s="5"/>
      <c r="Y458" s="5" t="s">
        <v>266</v>
      </c>
    </row>
    <row r="459" spans="1:25" ht="13.8">
      <c r="A459" s="5" t="s">
        <v>1868</v>
      </c>
      <c r="B459" s="5" t="s">
        <v>26</v>
      </c>
      <c r="C459" s="5" t="s">
        <v>27</v>
      </c>
      <c r="D459" s="5">
        <v>123</v>
      </c>
      <c r="E459" s="7" t="s">
        <v>108</v>
      </c>
      <c r="F459" s="5" t="s">
        <v>250</v>
      </c>
      <c r="G459" s="13" t="s">
        <v>1334</v>
      </c>
      <c r="H459" s="5">
        <v>4</v>
      </c>
      <c r="I459" s="8">
        <v>44835</v>
      </c>
      <c r="J459" s="8">
        <v>46295</v>
      </c>
      <c r="K459" s="5" t="s">
        <v>508</v>
      </c>
      <c r="L459" s="5" t="s">
        <v>50</v>
      </c>
      <c r="M459" s="60" t="s">
        <v>1869</v>
      </c>
      <c r="N459" s="21" t="s">
        <v>52</v>
      </c>
      <c r="O459" s="5" t="s">
        <v>64</v>
      </c>
      <c r="P459" s="53" t="s">
        <v>1870</v>
      </c>
      <c r="Q459" s="12"/>
      <c r="R459" s="5"/>
      <c r="S459" s="5"/>
      <c r="T459" s="5" t="s">
        <v>39</v>
      </c>
      <c r="U459" s="16">
        <v>36405</v>
      </c>
      <c r="V459" s="5" t="s">
        <v>1871</v>
      </c>
      <c r="W459" s="5" t="s">
        <v>40</v>
      </c>
      <c r="X459" s="6">
        <v>2021</v>
      </c>
      <c r="Y459" s="5" t="s">
        <v>112</v>
      </c>
    </row>
    <row r="460" spans="1:25" ht="13.8">
      <c r="A460" s="13" t="s">
        <v>1872</v>
      </c>
      <c r="B460" s="5" t="s">
        <v>26</v>
      </c>
      <c r="C460" s="5" t="s">
        <v>27</v>
      </c>
      <c r="D460" s="6" t="s">
        <v>385</v>
      </c>
      <c r="E460" s="7" t="s">
        <v>90</v>
      </c>
      <c r="F460" s="5"/>
      <c r="G460" s="5"/>
      <c r="H460" s="5">
        <v>1</v>
      </c>
      <c r="I460" s="8">
        <v>45931</v>
      </c>
      <c r="J460" s="8">
        <v>47391</v>
      </c>
      <c r="K460" s="5" t="s">
        <v>29</v>
      </c>
      <c r="L460" s="5" t="s">
        <v>30</v>
      </c>
      <c r="M460" s="96" t="s">
        <v>1873</v>
      </c>
      <c r="N460" s="5" t="s">
        <v>1874</v>
      </c>
      <c r="O460" s="5"/>
      <c r="P460" s="35"/>
      <c r="Q460" s="12"/>
      <c r="R460" s="5"/>
      <c r="S460" s="5"/>
      <c r="T460" s="5"/>
      <c r="U460" s="5"/>
      <c r="V460" s="5"/>
      <c r="W460" s="5"/>
      <c r="X460" s="5"/>
      <c r="Y460" s="5"/>
    </row>
    <row r="461" spans="1:25" ht="13.8">
      <c r="A461" s="5" t="s">
        <v>1875</v>
      </c>
      <c r="B461" s="5" t="s">
        <v>47</v>
      </c>
      <c r="C461" s="5" t="s">
        <v>27</v>
      </c>
      <c r="D461" s="5">
        <v>122</v>
      </c>
      <c r="E461" s="7" t="s">
        <v>33</v>
      </c>
      <c r="F461" s="5"/>
      <c r="G461" s="5" t="s">
        <v>302</v>
      </c>
      <c r="H461" s="6"/>
      <c r="I461" s="8">
        <v>44105</v>
      </c>
      <c r="J461" s="8">
        <v>45853</v>
      </c>
      <c r="K461" s="5" t="s">
        <v>29</v>
      </c>
      <c r="L461" s="5" t="s">
        <v>30</v>
      </c>
      <c r="M461" s="13" t="s">
        <v>1876</v>
      </c>
      <c r="N461" s="5" t="s">
        <v>150</v>
      </c>
      <c r="O461" s="5" t="s">
        <v>151</v>
      </c>
      <c r="P461" s="53"/>
      <c r="Q461" s="12" t="s">
        <v>928</v>
      </c>
      <c r="R461" s="5" t="s">
        <v>492</v>
      </c>
      <c r="S461" s="5" t="s">
        <v>1877</v>
      </c>
      <c r="T461" s="5" t="s">
        <v>39</v>
      </c>
      <c r="U461" s="8">
        <v>35664</v>
      </c>
      <c r="V461" s="5"/>
      <c r="W461" s="5"/>
      <c r="X461" s="5"/>
      <c r="Y461" s="5"/>
    </row>
    <row r="462" spans="1:25" ht="13.8">
      <c r="A462" s="28" t="s">
        <v>1878</v>
      </c>
      <c r="B462" s="5" t="s">
        <v>26</v>
      </c>
      <c r="C462" s="5" t="s">
        <v>27</v>
      </c>
      <c r="D462" s="29">
        <v>121</v>
      </c>
      <c r="E462" s="30" t="s">
        <v>77</v>
      </c>
      <c r="F462" s="5"/>
      <c r="G462" s="13" t="s">
        <v>440</v>
      </c>
      <c r="H462" s="5">
        <v>3</v>
      </c>
      <c r="I462" s="8">
        <v>45200</v>
      </c>
      <c r="J462" s="8">
        <v>46660</v>
      </c>
      <c r="K462" s="5" t="s">
        <v>29</v>
      </c>
      <c r="L462" s="5" t="s">
        <v>35</v>
      </c>
      <c r="M462" s="13" t="s">
        <v>1879</v>
      </c>
      <c r="N462" s="5" t="s">
        <v>85</v>
      </c>
      <c r="O462" s="5"/>
      <c r="P462" s="17" t="s">
        <v>1880</v>
      </c>
      <c r="Q462" s="12"/>
      <c r="R462" s="5"/>
      <c r="S462" s="5"/>
      <c r="T462" s="31" t="s">
        <v>39</v>
      </c>
      <c r="U462" s="33">
        <v>36501</v>
      </c>
      <c r="V462" s="5"/>
      <c r="W462" s="5"/>
      <c r="X462" s="5"/>
      <c r="Y462" s="5" t="s">
        <v>94</v>
      </c>
    </row>
    <row r="463" spans="1:25" ht="13.8">
      <c r="A463" s="13" t="s">
        <v>1881</v>
      </c>
      <c r="B463" s="5" t="s">
        <v>26</v>
      </c>
      <c r="C463" s="5" t="s">
        <v>27</v>
      </c>
      <c r="D463" s="5">
        <v>174</v>
      </c>
      <c r="E463" s="7" t="s">
        <v>138</v>
      </c>
      <c r="F463" s="5" t="s">
        <v>557</v>
      </c>
      <c r="G463" s="5" t="s">
        <v>162</v>
      </c>
      <c r="H463" s="5">
        <v>3</v>
      </c>
      <c r="I463" s="8">
        <v>45078</v>
      </c>
      <c r="J463" s="8">
        <v>46538</v>
      </c>
      <c r="K463" s="5" t="s">
        <v>29</v>
      </c>
      <c r="L463" s="5" t="s">
        <v>35</v>
      </c>
      <c r="M463" s="53" t="s">
        <v>1882</v>
      </c>
      <c r="N463" s="97" t="s">
        <v>1883</v>
      </c>
      <c r="O463" s="5"/>
      <c r="P463" s="72" t="s">
        <v>1884</v>
      </c>
      <c r="Q463" s="12"/>
      <c r="R463" s="5"/>
      <c r="S463" s="5"/>
      <c r="T463" s="5" t="s">
        <v>39</v>
      </c>
      <c r="U463" s="16">
        <v>33607</v>
      </c>
      <c r="V463" s="5">
        <f>380954042113</f>
        <v>380954042113</v>
      </c>
      <c r="W463" s="5" t="s">
        <v>40</v>
      </c>
      <c r="X463" s="6">
        <v>2016</v>
      </c>
      <c r="Y463" s="5"/>
    </row>
    <row r="464" spans="1:25" ht="13.8">
      <c r="A464" s="5" t="s">
        <v>1885</v>
      </c>
      <c r="B464" s="5" t="s">
        <v>26</v>
      </c>
      <c r="C464" s="5" t="s">
        <v>27</v>
      </c>
      <c r="D464" s="5">
        <v>121</v>
      </c>
      <c r="E464" s="7" t="s">
        <v>77</v>
      </c>
      <c r="F464" s="5"/>
      <c r="G464" s="5" t="s">
        <v>974</v>
      </c>
      <c r="H464" s="5">
        <v>4</v>
      </c>
      <c r="I464" s="8">
        <v>44835</v>
      </c>
      <c r="J464" s="8">
        <v>46295</v>
      </c>
      <c r="K464" s="5" t="s">
        <v>29</v>
      </c>
      <c r="L464" s="5" t="s">
        <v>35</v>
      </c>
      <c r="M464" s="28" t="s">
        <v>1886</v>
      </c>
      <c r="N464" s="21" t="s">
        <v>52</v>
      </c>
      <c r="O464" s="5" t="s">
        <v>64</v>
      </c>
      <c r="P464" s="53" t="s">
        <v>1887</v>
      </c>
      <c r="Q464" s="12"/>
      <c r="R464" s="5"/>
      <c r="S464" s="5"/>
      <c r="T464" s="5" t="s">
        <v>39</v>
      </c>
      <c r="U464" s="16">
        <v>35478</v>
      </c>
      <c r="V464" s="5" t="s">
        <v>1888</v>
      </c>
      <c r="W464" s="5" t="s">
        <v>561</v>
      </c>
      <c r="X464" s="6">
        <v>2019</v>
      </c>
      <c r="Y464" s="5" t="s">
        <v>94</v>
      </c>
    </row>
    <row r="465" spans="1:25" ht="13.8">
      <c r="A465" s="13" t="s">
        <v>1889</v>
      </c>
      <c r="B465" s="5" t="s">
        <v>26</v>
      </c>
      <c r="C465" s="5" t="s">
        <v>27</v>
      </c>
      <c r="D465" s="5">
        <v>171</v>
      </c>
      <c r="E465" s="7" t="s">
        <v>115</v>
      </c>
      <c r="F465" s="5"/>
      <c r="G465" s="5" t="s">
        <v>628</v>
      </c>
      <c r="H465" s="5">
        <v>3</v>
      </c>
      <c r="I465" s="8">
        <v>45047</v>
      </c>
      <c r="J465" s="8">
        <v>46507</v>
      </c>
      <c r="K465" s="5" t="s">
        <v>29</v>
      </c>
      <c r="L465" s="5" t="s">
        <v>35</v>
      </c>
      <c r="M465" s="53" t="s">
        <v>1890</v>
      </c>
      <c r="N465" s="12" t="s">
        <v>37</v>
      </c>
      <c r="O465" s="5"/>
      <c r="P465" s="72" t="s">
        <v>1891</v>
      </c>
      <c r="Q465" s="12"/>
      <c r="R465" s="5"/>
      <c r="S465" s="5"/>
      <c r="T465" s="5" t="s">
        <v>39</v>
      </c>
      <c r="U465" s="16">
        <v>36111</v>
      </c>
      <c r="V465" s="5">
        <v>684201587</v>
      </c>
      <c r="W465" s="5" t="s">
        <v>40</v>
      </c>
      <c r="X465" s="6">
        <v>2022</v>
      </c>
      <c r="Y465" s="5" t="s">
        <v>160</v>
      </c>
    </row>
    <row r="466" spans="1:25" ht="13.8">
      <c r="A466" s="5" t="s">
        <v>1892</v>
      </c>
      <c r="B466" s="5" t="s">
        <v>47</v>
      </c>
      <c r="C466" s="5" t="s">
        <v>27</v>
      </c>
      <c r="D466" s="5">
        <v>122</v>
      </c>
      <c r="E466" s="7" t="s">
        <v>33</v>
      </c>
      <c r="F466" s="5"/>
      <c r="G466" s="5" t="s">
        <v>774</v>
      </c>
      <c r="H466" s="5"/>
      <c r="I466" s="8">
        <v>44835</v>
      </c>
      <c r="J466" s="8">
        <v>45747</v>
      </c>
      <c r="K466" s="5" t="s">
        <v>29</v>
      </c>
      <c r="L466" s="5" t="s">
        <v>35</v>
      </c>
      <c r="M466" s="60" t="s">
        <v>1893</v>
      </c>
      <c r="N466" s="21" t="s">
        <v>52</v>
      </c>
      <c r="O466" s="5"/>
      <c r="P466" s="53" t="s">
        <v>1894</v>
      </c>
      <c r="Q466" s="12" t="s">
        <v>1279</v>
      </c>
      <c r="R466" s="5"/>
      <c r="S466" s="5" t="s">
        <v>1895</v>
      </c>
      <c r="T466" s="5" t="s">
        <v>39</v>
      </c>
      <c r="U466" s="16">
        <v>33118</v>
      </c>
      <c r="V466" s="5" t="s">
        <v>1896</v>
      </c>
      <c r="W466" s="5" t="s">
        <v>40</v>
      </c>
      <c r="X466" s="6">
        <v>2012</v>
      </c>
      <c r="Y466" s="5"/>
    </row>
    <row r="467" spans="1:25" ht="18" customHeight="1">
      <c r="A467" s="13" t="s">
        <v>1897</v>
      </c>
      <c r="B467" s="5" t="s">
        <v>26</v>
      </c>
      <c r="C467" s="5" t="s">
        <v>27</v>
      </c>
      <c r="D467" s="6" t="s">
        <v>388</v>
      </c>
      <c r="E467" s="7" t="s">
        <v>203</v>
      </c>
      <c r="F467" s="5"/>
      <c r="G467" s="5"/>
      <c r="H467" s="5">
        <v>1</v>
      </c>
      <c r="I467" s="8">
        <v>45931</v>
      </c>
      <c r="J467" s="8">
        <v>47391</v>
      </c>
      <c r="K467" s="5" t="s">
        <v>29</v>
      </c>
      <c r="L467" s="5" t="s">
        <v>30</v>
      </c>
      <c r="M467" s="34" t="s">
        <v>1898</v>
      </c>
      <c r="N467" s="5" t="s">
        <v>45</v>
      </c>
      <c r="O467" s="5"/>
      <c r="P467" s="35"/>
      <c r="Q467" s="12"/>
      <c r="R467" s="5"/>
      <c r="S467" s="5"/>
      <c r="T467" s="5"/>
      <c r="U467" s="5"/>
      <c r="V467" s="5"/>
      <c r="W467" s="5"/>
      <c r="X467" s="5"/>
      <c r="Y467" s="5"/>
    </row>
    <row r="468" spans="1:25" ht="13.8">
      <c r="A468" s="5" t="s">
        <v>1899</v>
      </c>
      <c r="B468" s="5" t="s">
        <v>47</v>
      </c>
      <c r="C468" s="5" t="s">
        <v>27</v>
      </c>
      <c r="D468" s="5">
        <v>51</v>
      </c>
      <c r="E468" s="7" t="s">
        <v>192</v>
      </c>
      <c r="F468" s="5" t="s">
        <v>193</v>
      </c>
      <c r="G468" s="5" t="s">
        <v>412</v>
      </c>
      <c r="H468" s="6"/>
      <c r="I468" s="8">
        <v>44105</v>
      </c>
      <c r="J468" s="8">
        <v>45814</v>
      </c>
      <c r="K468" s="5" t="s">
        <v>29</v>
      </c>
      <c r="L468" s="5" t="s">
        <v>35</v>
      </c>
      <c r="M468" s="13" t="s">
        <v>1900</v>
      </c>
      <c r="N468" s="5" t="s">
        <v>150</v>
      </c>
      <c r="O468" s="5" t="s">
        <v>151</v>
      </c>
      <c r="P468" s="53"/>
      <c r="Q468" s="12" t="s">
        <v>1901</v>
      </c>
      <c r="R468" s="5"/>
      <c r="S468" s="5" t="s">
        <v>1902</v>
      </c>
      <c r="T468" s="5" t="s">
        <v>39</v>
      </c>
      <c r="U468" s="8">
        <v>35535</v>
      </c>
      <c r="V468" s="5"/>
      <c r="W468" s="5"/>
      <c r="X468" s="5"/>
      <c r="Y468" s="5"/>
    </row>
    <row r="469" spans="1:25" ht="15">
      <c r="A469" s="5" t="s">
        <v>1903</v>
      </c>
      <c r="B469" s="5" t="s">
        <v>26</v>
      </c>
      <c r="C469" s="5" t="s">
        <v>27</v>
      </c>
      <c r="D469" s="5">
        <v>123</v>
      </c>
      <c r="E469" s="7" t="s">
        <v>108</v>
      </c>
      <c r="F469" s="5" t="s">
        <v>250</v>
      </c>
      <c r="G469" s="5" t="s">
        <v>109</v>
      </c>
      <c r="H469" s="5">
        <v>2</v>
      </c>
      <c r="I469" s="8">
        <v>45566</v>
      </c>
      <c r="J469" s="9">
        <v>47026</v>
      </c>
      <c r="K469" s="5" t="s">
        <v>29</v>
      </c>
      <c r="L469" s="5" t="s">
        <v>141</v>
      </c>
      <c r="M469" s="66" t="s">
        <v>1904</v>
      </c>
      <c r="N469" s="5" t="s">
        <v>143</v>
      </c>
      <c r="O469" s="5"/>
      <c r="P469" s="90" t="s">
        <v>1905</v>
      </c>
      <c r="Q469" s="12"/>
      <c r="R469" s="5"/>
      <c r="S469" s="5"/>
      <c r="T469" s="5" t="s">
        <v>39</v>
      </c>
      <c r="U469" s="8">
        <v>36555</v>
      </c>
      <c r="V469" s="5"/>
      <c r="W469" s="5"/>
      <c r="X469" s="5"/>
      <c r="Y469" s="5" t="s">
        <v>112</v>
      </c>
    </row>
    <row r="470" spans="1:25" ht="13.8">
      <c r="A470" s="28" t="s">
        <v>1906</v>
      </c>
      <c r="B470" s="5" t="s">
        <v>26</v>
      </c>
      <c r="C470" s="5" t="s">
        <v>27</v>
      </c>
      <c r="D470" s="29">
        <v>123</v>
      </c>
      <c r="E470" s="30" t="s">
        <v>249</v>
      </c>
      <c r="F470" s="5" t="s">
        <v>250</v>
      </c>
      <c r="G470" s="13" t="s">
        <v>1741</v>
      </c>
      <c r="H470" s="5">
        <v>3</v>
      </c>
      <c r="I470" s="8">
        <v>45200</v>
      </c>
      <c r="J470" s="8">
        <v>46660</v>
      </c>
      <c r="K470" s="5" t="s">
        <v>508</v>
      </c>
      <c r="L470" s="5" t="s">
        <v>50</v>
      </c>
      <c r="M470" s="13" t="s">
        <v>1907</v>
      </c>
      <c r="N470" s="5" t="s">
        <v>85</v>
      </c>
      <c r="O470" s="5"/>
      <c r="P470" s="5" t="s">
        <v>1908</v>
      </c>
      <c r="Q470" s="12"/>
      <c r="R470" s="5"/>
      <c r="S470" s="5"/>
      <c r="T470" s="31" t="s">
        <v>57</v>
      </c>
      <c r="U470" s="33">
        <v>36699</v>
      </c>
      <c r="V470" s="5"/>
      <c r="W470" s="5"/>
      <c r="X470" s="5"/>
      <c r="Y470" s="5" t="s">
        <v>299</v>
      </c>
    </row>
    <row r="471" spans="1:25" ht="15">
      <c r="A471" s="5" t="s">
        <v>1909</v>
      </c>
      <c r="B471" s="5" t="s">
        <v>26</v>
      </c>
      <c r="C471" s="5" t="s">
        <v>27</v>
      </c>
      <c r="D471" s="5">
        <v>125</v>
      </c>
      <c r="E471" s="7" t="s">
        <v>104</v>
      </c>
      <c r="F471" s="5" t="s">
        <v>477</v>
      </c>
      <c r="G471" s="5" t="s">
        <v>1354</v>
      </c>
      <c r="H471" s="5">
        <v>2</v>
      </c>
      <c r="I471" s="8">
        <v>45566</v>
      </c>
      <c r="J471" s="9">
        <v>47026</v>
      </c>
      <c r="K471" s="5" t="s">
        <v>29</v>
      </c>
      <c r="L471" s="5" t="s">
        <v>141</v>
      </c>
      <c r="M471" s="5" t="s">
        <v>1910</v>
      </c>
      <c r="N471" s="5" t="s">
        <v>143</v>
      </c>
      <c r="O471" s="5"/>
      <c r="P471" s="44" t="s">
        <v>1911</v>
      </c>
      <c r="Q471" s="12"/>
      <c r="R471" s="5"/>
      <c r="S471" s="5"/>
      <c r="T471" s="5" t="s">
        <v>39</v>
      </c>
      <c r="U471" s="8">
        <v>33453</v>
      </c>
      <c r="V471" s="5"/>
      <c r="W471" s="5"/>
      <c r="X471" s="5"/>
      <c r="Y471" s="5" t="s">
        <v>106</v>
      </c>
    </row>
    <row r="472" spans="1:25" ht="13.8">
      <c r="A472" s="26" t="s">
        <v>1912</v>
      </c>
      <c r="B472" s="5" t="s">
        <v>26</v>
      </c>
      <c r="C472" s="5" t="s">
        <v>27</v>
      </c>
      <c r="D472" s="5">
        <v>122</v>
      </c>
      <c r="E472" s="7" t="s">
        <v>322</v>
      </c>
      <c r="F472" s="5"/>
      <c r="G472" s="5" t="s">
        <v>1524</v>
      </c>
      <c r="H472" s="5">
        <v>3</v>
      </c>
      <c r="I472" s="8">
        <v>45047</v>
      </c>
      <c r="J472" s="8">
        <v>46507</v>
      </c>
      <c r="K472" s="5" t="s">
        <v>29</v>
      </c>
      <c r="L472" s="5" t="s">
        <v>35</v>
      </c>
      <c r="M472" s="60" t="s">
        <v>1854</v>
      </c>
      <c r="N472" s="12" t="s">
        <v>37</v>
      </c>
      <c r="O472" s="5"/>
      <c r="P472" s="72" t="s">
        <v>1913</v>
      </c>
      <c r="Q472" s="12"/>
      <c r="R472" s="5"/>
      <c r="S472" s="5"/>
      <c r="T472" s="5" t="s">
        <v>39</v>
      </c>
      <c r="U472" s="16">
        <v>36576</v>
      </c>
      <c r="V472" s="5">
        <f>380504038922</f>
        <v>380504038922</v>
      </c>
      <c r="W472" s="5" t="s">
        <v>504</v>
      </c>
      <c r="X472" s="6">
        <v>2022</v>
      </c>
      <c r="Y472" s="5"/>
    </row>
    <row r="473" spans="1:25" ht="13.8">
      <c r="A473" s="40" t="s">
        <v>1914</v>
      </c>
      <c r="B473" s="5" t="s">
        <v>26</v>
      </c>
      <c r="C473" s="5" t="s">
        <v>27</v>
      </c>
      <c r="D473" s="29">
        <v>122</v>
      </c>
      <c r="E473" s="30" t="s">
        <v>322</v>
      </c>
      <c r="F473" s="5"/>
      <c r="G473" s="13" t="s">
        <v>1373</v>
      </c>
      <c r="H473" s="5">
        <v>3</v>
      </c>
      <c r="I473" s="8">
        <v>45200</v>
      </c>
      <c r="J473" s="8">
        <v>46660</v>
      </c>
      <c r="K473" s="5" t="s">
        <v>508</v>
      </c>
      <c r="L473" s="5" t="s">
        <v>50</v>
      </c>
      <c r="M473" s="13" t="s">
        <v>1915</v>
      </c>
      <c r="N473" s="5" t="s">
        <v>85</v>
      </c>
      <c r="O473" s="5"/>
      <c r="P473" s="5" t="s">
        <v>1916</v>
      </c>
      <c r="Q473" s="12"/>
      <c r="R473" s="5"/>
      <c r="S473" s="5"/>
      <c r="T473" s="31" t="s">
        <v>57</v>
      </c>
      <c r="U473" s="33">
        <v>35626</v>
      </c>
      <c r="V473" s="5"/>
      <c r="W473" s="5"/>
      <c r="X473" s="5"/>
      <c r="Y473" s="5"/>
    </row>
    <row r="474" spans="1:25" ht="13.8">
      <c r="A474" s="26" t="s">
        <v>1917</v>
      </c>
      <c r="B474" s="5" t="s">
        <v>26</v>
      </c>
      <c r="C474" s="5" t="s">
        <v>27</v>
      </c>
      <c r="D474" s="29">
        <v>171</v>
      </c>
      <c r="E474" s="30" t="s">
        <v>115</v>
      </c>
      <c r="F474" s="5"/>
      <c r="G474" s="13" t="s">
        <v>1918</v>
      </c>
      <c r="H474" s="5">
        <v>2</v>
      </c>
      <c r="I474" s="8">
        <v>45231</v>
      </c>
      <c r="J474" s="36">
        <v>46691</v>
      </c>
      <c r="K474" s="5" t="s">
        <v>29</v>
      </c>
      <c r="L474" s="5" t="s">
        <v>35</v>
      </c>
      <c r="M474" s="13" t="s">
        <v>1919</v>
      </c>
      <c r="N474" s="37" t="s">
        <v>128</v>
      </c>
      <c r="O474" s="5"/>
      <c r="P474" s="5" t="s">
        <v>1920</v>
      </c>
      <c r="Q474" s="12"/>
      <c r="R474" s="5"/>
      <c r="S474" s="5"/>
      <c r="T474" s="5" t="s">
        <v>39</v>
      </c>
      <c r="U474" s="33">
        <v>28869</v>
      </c>
      <c r="V474" s="5"/>
      <c r="W474" s="5"/>
      <c r="X474" s="5"/>
      <c r="Y474" s="5" t="s">
        <v>160</v>
      </c>
    </row>
    <row r="475" spans="1:25" ht="13.8">
      <c r="A475" s="26" t="s">
        <v>1921</v>
      </c>
      <c r="B475" s="5" t="s">
        <v>47</v>
      </c>
      <c r="C475" s="5" t="s">
        <v>27</v>
      </c>
      <c r="D475" s="29">
        <v>51</v>
      </c>
      <c r="E475" s="30" t="s">
        <v>192</v>
      </c>
      <c r="F475" s="5" t="s">
        <v>193</v>
      </c>
      <c r="G475" s="13" t="s">
        <v>1922</v>
      </c>
      <c r="H475" s="5"/>
      <c r="I475" s="8">
        <v>45231</v>
      </c>
      <c r="J475" s="36">
        <v>45930</v>
      </c>
      <c r="K475" s="5" t="s">
        <v>29</v>
      </c>
      <c r="L475" s="5" t="s">
        <v>35</v>
      </c>
      <c r="M475" s="77" t="s">
        <v>1923</v>
      </c>
      <c r="N475" s="37" t="s">
        <v>128</v>
      </c>
      <c r="O475" s="5"/>
      <c r="P475" s="5" t="s">
        <v>1924</v>
      </c>
      <c r="Q475" s="12" t="s">
        <v>789</v>
      </c>
      <c r="R475" s="5" t="s">
        <v>1836</v>
      </c>
      <c r="S475" s="5"/>
      <c r="T475" s="31" t="s">
        <v>39</v>
      </c>
      <c r="U475" s="33">
        <v>32813</v>
      </c>
      <c r="V475" s="5"/>
      <c r="W475" s="5"/>
      <c r="X475" s="5"/>
      <c r="Y475" s="5"/>
    </row>
    <row r="476" spans="1:25" ht="15">
      <c r="A476" s="17" t="s">
        <v>1925</v>
      </c>
      <c r="B476" s="5" t="s">
        <v>26</v>
      </c>
      <c r="C476" s="5" t="s">
        <v>27</v>
      </c>
      <c r="D476" s="5">
        <v>123</v>
      </c>
      <c r="E476" s="7" t="s">
        <v>80</v>
      </c>
      <c r="F476" s="5" t="s">
        <v>81</v>
      </c>
      <c r="G476" s="5" t="s">
        <v>740</v>
      </c>
      <c r="H476" s="5">
        <v>2</v>
      </c>
      <c r="I476" s="8">
        <v>45566</v>
      </c>
      <c r="J476" s="9">
        <v>47026</v>
      </c>
      <c r="K476" s="5" t="s">
        <v>29</v>
      </c>
      <c r="L476" s="5" t="s">
        <v>141</v>
      </c>
      <c r="M476" s="5" t="s">
        <v>1926</v>
      </c>
      <c r="N476" s="5" t="s">
        <v>143</v>
      </c>
      <c r="O476" s="5"/>
      <c r="P476" s="44" t="s">
        <v>1927</v>
      </c>
      <c r="Q476" s="12"/>
      <c r="R476" s="5"/>
      <c r="S476" s="5"/>
      <c r="T476" s="5" t="s">
        <v>39</v>
      </c>
      <c r="U476" s="8">
        <v>32307</v>
      </c>
      <c r="V476" s="5"/>
      <c r="W476" s="5"/>
      <c r="X476" s="5"/>
      <c r="Y476" s="5" t="s">
        <v>88</v>
      </c>
    </row>
    <row r="477" spans="1:25" ht="15">
      <c r="A477" s="26" t="s">
        <v>1928</v>
      </c>
      <c r="B477" s="5" t="s">
        <v>26</v>
      </c>
      <c r="C477" s="5" t="s">
        <v>27</v>
      </c>
      <c r="D477" s="6" t="s">
        <v>283</v>
      </c>
      <c r="E477" s="7" t="s">
        <v>138</v>
      </c>
      <c r="F477" s="5"/>
      <c r="G477" s="5"/>
      <c r="H477" s="5">
        <v>1</v>
      </c>
      <c r="I477" s="8">
        <v>45931</v>
      </c>
      <c r="J477" s="8">
        <v>47391</v>
      </c>
      <c r="K477" s="5" t="s">
        <v>29</v>
      </c>
      <c r="L477" s="5" t="s">
        <v>30</v>
      </c>
      <c r="M477" s="34" t="s">
        <v>1929</v>
      </c>
      <c r="N477" s="5" t="s">
        <v>45</v>
      </c>
      <c r="O477" s="5"/>
      <c r="P477" s="44" t="s">
        <v>1930</v>
      </c>
      <c r="Q477" s="12"/>
      <c r="R477" s="5"/>
      <c r="S477" s="5"/>
      <c r="T477" s="5" t="s">
        <v>39</v>
      </c>
      <c r="U477" s="8">
        <v>29303</v>
      </c>
      <c r="V477" s="5"/>
      <c r="W477" s="5"/>
      <c r="X477" s="5"/>
      <c r="Y477" s="5"/>
    </row>
    <row r="478" spans="1:25" ht="15">
      <c r="A478" s="17" t="s">
        <v>1931</v>
      </c>
      <c r="B478" s="5" t="s">
        <v>26</v>
      </c>
      <c r="C478" s="5" t="s">
        <v>27</v>
      </c>
      <c r="D478" s="5">
        <v>175</v>
      </c>
      <c r="E478" s="7" t="s">
        <v>146</v>
      </c>
      <c r="F478" s="5" t="s">
        <v>717</v>
      </c>
      <c r="G478" s="5" t="s">
        <v>1932</v>
      </c>
      <c r="H478" s="5">
        <v>2</v>
      </c>
      <c r="I478" s="8">
        <v>45566</v>
      </c>
      <c r="J478" s="9">
        <v>47026</v>
      </c>
      <c r="K478" s="5" t="s">
        <v>29</v>
      </c>
      <c r="L478" s="5" t="s">
        <v>141</v>
      </c>
      <c r="M478" s="5" t="s">
        <v>1933</v>
      </c>
      <c r="N478" s="5" t="s">
        <v>143</v>
      </c>
      <c r="O478" s="5"/>
      <c r="P478" s="76" t="s">
        <v>1934</v>
      </c>
      <c r="Q478" s="12"/>
      <c r="R478" s="5"/>
      <c r="S478" s="5"/>
      <c r="T478" s="5" t="s">
        <v>39</v>
      </c>
      <c r="U478" s="8">
        <v>30376</v>
      </c>
      <c r="V478" s="5"/>
      <c r="W478" s="5"/>
      <c r="X478" s="5"/>
      <c r="Y478" s="5"/>
    </row>
    <row r="479" spans="1:25" ht="13.8">
      <c r="A479" s="26" t="s">
        <v>1935</v>
      </c>
      <c r="B479" s="5" t="s">
        <v>26</v>
      </c>
      <c r="C479" s="5" t="s">
        <v>27</v>
      </c>
      <c r="D479" s="5">
        <v>121</v>
      </c>
      <c r="E479" s="7" t="s">
        <v>77</v>
      </c>
      <c r="F479" s="5"/>
      <c r="G479" s="5" t="s">
        <v>985</v>
      </c>
      <c r="H479" s="5">
        <v>3</v>
      </c>
      <c r="I479" s="8">
        <v>45047</v>
      </c>
      <c r="J479" s="8">
        <v>46507</v>
      </c>
      <c r="K479" s="5" t="s">
        <v>29</v>
      </c>
      <c r="L479" s="5" t="s">
        <v>35</v>
      </c>
      <c r="M479" s="53" t="s">
        <v>1936</v>
      </c>
      <c r="N479" s="12" t="s">
        <v>37</v>
      </c>
      <c r="O479" s="5"/>
      <c r="P479" s="72" t="s">
        <v>1937</v>
      </c>
      <c r="Q479" s="12"/>
      <c r="R479" s="5"/>
      <c r="S479" s="5"/>
      <c r="T479" s="5" t="s">
        <v>39</v>
      </c>
      <c r="U479" s="16">
        <v>36228</v>
      </c>
      <c r="V479" s="5">
        <v>506045621</v>
      </c>
      <c r="W479" s="5" t="s">
        <v>1938</v>
      </c>
      <c r="X479" s="6">
        <v>2023</v>
      </c>
      <c r="Y479" s="5" t="s">
        <v>94</v>
      </c>
    </row>
    <row r="480" spans="1:25" ht="13.8">
      <c r="A480" s="26" t="s">
        <v>1939</v>
      </c>
      <c r="B480" s="5" t="s">
        <v>26</v>
      </c>
      <c r="C480" s="5" t="s">
        <v>27</v>
      </c>
      <c r="D480" s="6" t="s">
        <v>114</v>
      </c>
      <c r="E480" s="7" t="s">
        <v>131</v>
      </c>
      <c r="F480" s="5"/>
      <c r="G480" s="5"/>
      <c r="H480" s="5">
        <v>1</v>
      </c>
      <c r="I480" s="8">
        <v>45931</v>
      </c>
      <c r="J480" s="8">
        <v>47391</v>
      </c>
      <c r="K480" s="5" t="s">
        <v>29</v>
      </c>
      <c r="L480" s="5" t="s">
        <v>30</v>
      </c>
      <c r="M480" s="34" t="s">
        <v>1940</v>
      </c>
      <c r="N480" s="5" t="s">
        <v>45</v>
      </c>
      <c r="O480" s="5"/>
      <c r="P480" s="35"/>
      <c r="Q480" s="12"/>
      <c r="R480" s="5"/>
      <c r="S480" s="5"/>
      <c r="T480" s="5"/>
      <c r="U480" s="5"/>
      <c r="V480" s="5"/>
      <c r="W480" s="5"/>
      <c r="X480" s="5"/>
      <c r="Y480" s="5"/>
    </row>
    <row r="481" spans="1:25" ht="13.8">
      <c r="A481" s="26" t="s">
        <v>1941</v>
      </c>
      <c r="B481" s="5" t="s">
        <v>26</v>
      </c>
      <c r="C481" s="5" t="s">
        <v>27</v>
      </c>
      <c r="D481" s="6" t="s">
        <v>385</v>
      </c>
      <c r="E481" s="7" t="s">
        <v>90</v>
      </c>
      <c r="F481" s="5"/>
      <c r="G481" s="5"/>
      <c r="H481" s="5">
        <v>1</v>
      </c>
      <c r="I481" s="8">
        <v>45931</v>
      </c>
      <c r="J481" s="8">
        <v>47391</v>
      </c>
      <c r="K481" s="5" t="s">
        <v>29</v>
      </c>
      <c r="L481" s="5" t="s">
        <v>30</v>
      </c>
      <c r="M481" s="34" t="s">
        <v>1942</v>
      </c>
      <c r="N481" s="5" t="s">
        <v>45</v>
      </c>
      <c r="O481" s="5"/>
      <c r="P481" s="35"/>
      <c r="Q481" s="12"/>
      <c r="R481" s="5"/>
      <c r="S481" s="5"/>
      <c r="T481" s="5"/>
      <c r="U481" s="5"/>
      <c r="V481" s="5"/>
      <c r="W481" s="5"/>
      <c r="X481" s="5"/>
      <c r="Y481" s="5"/>
    </row>
    <row r="482" spans="1:25" ht="13.8">
      <c r="A482" s="17" t="s">
        <v>1943</v>
      </c>
      <c r="B482" s="5" t="s">
        <v>26</v>
      </c>
      <c r="C482" s="5" t="s">
        <v>27</v>
      </c>
      <c r="D482" s="5">
        <v>124</v>
      </c>
      <c r="E482" s="7" t="s">
        <v>203</v>
      </c>
      <c r="F482" s="5"/>
      <c r="G482" s="5" t="s">
        <v>1000</v>
      </c>
      <c r="H482" s="5">
        <v>4</v>
      </c>
      <c r="I482" s="8">
        <v>44835</v>
      </c>
      <c r="J482" s="8">
        <v>46295</v>
      </c>
      <c r="K482" s="5" t="s">
        <v>29</v>
      </c>
      <c r="L482" s="5" t="s">
        <v>50</v>
      </c>
      <c r="M482" s="28" t="s">
        <v>1944</v>
      </c>
      <c r="N482" s="21" t="s">
        <v>52</v>
      </c>
      <c r="O482" s="5" t="s">
        <v>64</v>
      </c>
      <c r="P482" s="53" t="s">
        <v>1870</v>
      </c>
      <c r="Q482" s="12"/>
      <c r="R482" s="5"/>
      <c r="S482" s="5" t="s">
        <v>1003</v>
      </c>
      <c r="T482" s="5" t="s">
        <v>39</v>
      </c>
      <c r="U482" s="16">
        <v>33764</v>
      </c>
      <c r="V482" s="5" t="s">
        <v>1945</v>
      </c>
      <c r="W482" s="5" t="s">
        <v>40</v>
      </c>
      <c r="X482" s="6">
        <v>2014</v>
      </c>
      <c r="Y482" s="5" t="s">
        <v>41</v>
      </c>
    </row>
    <row r="483" spans="1:25" ht="13.8">
      <c r="A483" s="40" t="s">
        <v>1946</v>
      </c>
      <c r="B483" s="5" t="s">
        <v>26</v>
      </c>
      <c r="C483" s="5" t="s">
        <v>27</v>
      </c>
      <c r="D483" s="29">
        <v>163</v>
      </c>
      <c r="E483" s="30" t="s">
        <v>90</v>
      </c>
      <c r="F483" s="5"/>
      <c r="G483" s="13" t="s">
        <v>1296</v>
      </c>
      <c r="H483" s="5">
        <v>3</v>
      </c>
      <c r="I483" s="8">
        <v>45200</v>
      </c>
      <c r="J483" s="8">
        <v>46660</v>
      </c>
      <c r="K483" s="5" t="s">
        <v>29</v>
      </c>
      <c r="L483" s="5" t="s">
        <v>35</v>
      </c>
      <c r="M483" s="13" t="s">
        <v>1947</v>
      </c>
      <c r="N483" s="5" t="s">
        <v>85</v>
      </c>
      <c r="O483" s="5"/>
      <c r="P483" s="5" t="s">
        <v>1948</v>
      </c>
      <c r="Q483" s="12"/>
      <c r="R483" s="5"/>
      <c r="S483" s="5"/>
      <c r="T483" s="5" t="s">
        <v>39</v>
      </c>
      <c r="U483" s="33">
        <v>34873</v>
      </c>
      <c r="V483" s="5"/>
      <c r="W483" s="5"/>
      <c r="X483" s="5"/>
      <c r="Y483" s="5" t="s">
        <v>94</v>
      </c>
    </row>
    <row r="484" spans="1:25" ht="13.8">
      <c r="A484" s="17" t="s">
        <v>1949</v>
      </c>
      <c r="B484" s="5" t="s">
        <v>26</v>
      </c>
      <c r="C484" s="5" t="s">
        <v>27</v>
      </c>
      <c r="D484" s="5">
        <v>172</v>
      </c>
      <c r="E484" s="7" t="s">
        <v>60</v>
      </c>
      <c r="F484" s="5" t="s">
        <v>61</v>
      </c>
      <c r="G484" s="5" t="s">
        <v>1950</v>
      </c>
      <c r="H484" s="5">
        <v>4</v>
      </c>
      <c r="I484" s="8">
        <v>44835</v>
      </c>
      <c r="J484" s="8">
        <v>46295</v>
      </c>
      <c r="K484" s="5" t="s">
        <v>29</v>
      </c>
      <c r="L484" s="5" t="s">
        <v>35</v>
      </c>
      <c r="M484" s="60" t="s">
        <v>1951</v>
      </c>
      <c r="N484" s="21" t="s">
        <v>52</v>
      </c>
      <c r="O484" s="5" t="s">
        <v>64</v>
      </c>
      <c r="P484" s="53" t="s">
        <v>1952</v>
      </c>
      <c r="Q484" s="12"/>
      <c r="R484" s="5"/>
      <c r="S484" s="5"/>
      <c r="T484" s="5" t="s">
        <v>39</v>
      </c>
      <c r="U484" s="16">
        <v>35912</v>
      </c>
      <c r="V484" s="50" t="s">
        <v>1953</v>
      </c>
      <c r="W484" s="5" t="s">
        <v>40</v>
      </c>
      <c r="X484" s="6">
        <v>2020</v>
      </c>
      <c r="Y484" s="5"/>
    </row>
    <row r="485" spans="1:25" ht="13.8">
      <c r="A485" s="17" t="s">
        <v>1954</v>
      </c>
      <c r="B485" s="5" t="s">
        <v>26</v>
      </c>
      <c r="C485" s="5" t="s">
        <v>27</v>
      </c>
      <c r="D485" s="5">
        <v>163</v>
      </c>
      <c r="E485" s="7" t="s">
        <v>90</v>
      </c>
      <c r="F485" s="5"/>
      <c r="G485" s="13" t="s">
        <v>1296</v>
      </c>
      <c r="H485" s="5">
        <v>4</v>
      </c>
      <c r="I485" s="8">
        <v>44835</v>
      </c>
      <c r="J485" s="8">
        <v>46295</v>
      </c>
      <c r="K485" s="5" t="s">
        <v>29</v>
      </c>
      <c r="L485" s="5" t="s">
        <v>35</v>
      </c>
      <c r="M485" s="28" t="s">
        <v>1955</v>
      </c>
      <c r="N485" s="21" t="s">
        <v>52</v>
      </c>
      <c r="O485" s="5" t="s">
        <v>64</v>
      </c>
      <c r="P485" s="53" t="s">
        <v>1956</v>
      </c>
      <c r="Q485" s="12"/>
      <c r="R485" s="5"/>
      <c r="S485" s="5"/>
      <c r="T485" s="5" t="s">
        <v>39</v>
      </c>
      <c r="U485" s="16">
        <v>35095</v>
      </c>
      <c r="V485" s="50" t="s">
        <v>1957</v>
      </c>
      <c r="W485" s="5" t="s">
        <v>40</v>
      </c>
      <c r="X485" s="6">
        <v>2019</v>
      </c>
      <c r="Y485" s="5" t="s">
        <v>94</v>
      </c>
    </row>
    <row r="486" spans="1:25" ht="13.8">
      <c r="A486" s="17" t="s">
        <v>1958</v>
      </c>
      <c r="B486" s="5" t="s">
        <v>47</v>
      </c>
      <c r="C486" s="5" t="s">
        <v>27</v>
      </c>
      <c r="D486" s="5">
        <v>121</v>
      </c>
      <c r="E486" s="7" t="s">
        <v>77</v>
      </c>
      <c r="F486" s="5"/>
      <c r="G486" s="5" t="s">
        <v>1065</v>
      </c>
      <c r="H486" s="5"/>
      <c r="I486" s="8">
        <v>44835</v>
      </c>
      <c r="J486" s="8">
        <v>45930</v>
      </c>
      <c r="K486" s="5" t="s">
        <v>29</v>
      </c>
      <c r="L486" s="5" t="s">
        <v>35</v>
      </c>
      <c r="M486" s="60" t="s">
        <v>1959</v>
      </c>
      <c r="N486" s="21" t="s">
        <v>52</v>
      </c>
      <c r="O486" s="5" t="s">
        <v>64</v>
      </c>
      <c r="P486" s="28" t="s">
        <v>1960</v>
      </c>
      <c r="Q486" s="12" t="s">
        <v>433</v>
      </c>
      <c r="R486" s="5" t="s">
        <v>434</v>
      </c>
      <c r="S486" s="5"/>
      <c r="T486" s="5" t="s">
        <v>39</v>
      </c>
      <c r="U486" s="16">
        <v>34623</v>
      </c>
      <c r="V486" s="5" t="s">
        <v>1961</v>
      </c>
      <c r="W486" s="5" t="s">
        <v>40</v>
      </c>
      <c r="X486" s="6">
        <v>2017</v>
      </c>
      <c r="Y486" s="5"/>
    </row>
    <row r="487" spans="1:25" ht="13.8">
      <c r="A487" s="26" t="s">
        <v>1962</v>
      </c>
      <c r="B487" s="5" t="s">
        <v>26</v>
      </c>
      <c r="C487" s="5" t="s">
        <v>27</v>
      </c>
      <c r="D487" s="6" t="s">
        <v>980</v>
      </c>
      <c r="E487" s="7"/>
      <c r="F487" s="5"/>
      <c r="G487" s="5"/>
      <c r="H487" s="5">
        <v>1</v>
      </c>
      <c r="I487" s="8">
        <v>45931</v>
      </c>
      <c r="J487" s="8">
        <v>47391</v>
      </c>
      <c r="K487" s="5" t="s">
        <v>29</v>
      </c>
      <c r="L487" s="5" t="s">
        <v>30</v>
      </c>
      <c r="M487" s="34" t="s">
        <v>1963</v>
      </c>
      <c r="N487" s="5" t="s">
        <v>45</v>
      </c>
      <c r="O487" s="5"/>
      <c r="P487" s="53"/>
      <c r="Q487" s="12"/>
      <c r="R487" s="5"/>
      <c r="S487" s="5" t="s">
        <v>1081</v>
      </c>
      <c r="T487" s="5" t="s">
        <v>39</v>
      </c>
      <c r="U487" s="8">
        <v>34990</v>
      </c>
      <c r="V487" s="5"/>
      <c r="W487" s="5"/>
      <c r="X487" s="5"/>
      <c r="Y487" s="5"/>
    </row>
    <row r="488" spans="1:25" ht="15">
      <c r="A488" s="17" t="s">
        <v>1964</v>
      </c>
      <c r="B488" s="5" t="s">
        <v>26</v>
      </c>
      <c r="C488" s="5" t="s">
        <v>27</v>
      </c>
      <c r="D488" s="5">
        <v>125</v>
      </c>
      <c r="E488" s="7" t="s">
        <v>131</v>
      </c>
      <c r="F488" s="5" t="s">
        <v>238</v>
      </c>
      <c r="G488" s="5" t="s">
        <v>1219</v>
      </c>
      <c r="H488" s="5">
        <v>2</v>
      </c>
      <c r="I488" s="8">
        <v>45566</v>
      </c>
      <c r="J488" s="9">
        <v>47026</v>
      </c>
      <c r="K488" s="5" t="s">
        <v>29</v>
      </c>
      <c r="L488" s="5" t="s">
        <v>141</v>
      </c>
      <c r="M488" s="66" t="s">
        <v>1965</v>
      </c>
      <c r="N488" s="5" t="s">
        <v>143</v>
      </c>
      <c r="O488" s="5"/>
      <c r="P488" s="44" t="s">
        <v>1966</v>
      </c>
      <c r="Q488" s="12"/>
      <c r="R488" s="5"/>
      <c r="S488" s="5"/>
      <c r="T488" s="5" t="s">
        <v>39</v>
      </c>
      <c r="U488" s="8">
        <v>34584</v>
      </c>
      <c r="V488" s="5"/>
      <c r="W488" s="5"/>
      <c r="X488" s="5"/>
      <c r="Y488" s="5" t="s">
        <v>136</v>
      </c>
    </row>
    <row r="489" spans="1:25" ht="15">
      <c r="A489" s="17" t="s">
        <v>1967</v>
      </c>
      <c r="B489" s="5" t="s">
        <v>26</v>
      </c>
      <c r="C489" s="5" t="s">
        <v>27</v>
      </c>
      <c r="D489" s="5">
        <v>125</v>
      </c>
      <c r="E489" s="7" t="s">
        <v>131</v>
      </c>
      <c r="F489" s="5" t="s">
        <v>238</v>
      </c>
      <c r="G489" s="5" t="s">
        <v>1968</v>
      </c>
      <c r="H489" s="5">
        <v>2</v>
      </c>
      <c r="I489" s="8">
        <v>45566</v>
      </c>
      <c r="J489" s="9">
        <v>47026</v>
      </c>
      <c r="K489" s="5" t="s">
        <v>29</v>
      </c>
      <c r="L489" s="5" t="s">
        <v>141</v>
      </c>
      <c r="M489" s="5" t="s">
        <v>1969</v>
      </c>
      <c r="N489" s="5" t="s">
        <v>143</v>
      </c>
      <c r="O489" s="5"/>
      <c r="P489" s="44" t="s">
        <v>1970</v>
      </c>
      <c r="Q489" s="12"/>
      <c r="R489" s="5"/>
      <c r="S489" s="5"/>
      <c r="T489" s="5" t="s">
        <v>39</v>
      </c>
      <c r="U489" s="8">
        <v>37002</v>
      </c>
      <c r="V489" s="5"/>
      <c r="W489" s="5"/>
      <c r="X489" s="5"/>
      <c r="Y489" s="5" t="s">
        <v>136</v>
      </c>
    </row>
    <row r="490" spans="1:25" ht="13.8">
      <c r="A490" s="26" t="s">
        <v>1971</v>
      </c>
      <c r="B490" s="5" t="s">
        <v>26</v>
      </c>
      <c r="C490" s="5" t="s">
        <v>27</v>
      </c>
      <c r="D490" s="5">
        <v>125</v>
      </c>
      <c r="E490" s="7" t="s">
        <v>104</v>
      </c>
      <c r="F490" s="5" t="s">
        <v>922</v>
      </c>
      <c r="G490" s="5" t="s">
        <v>632</v>
      </c>
      <c r="H490" s="5">
        <v>3</v>
      </c>
      <c r="I490" s="8">
        <v>45047</v>
      </c>
      <c r="J490" s="8">
        <v>46507</v>
      </c>
      <c r="K490" s="5" t="s">
        <v>29</v>
      </c>
      <c r="L490" s="5" t="s">
        <v>35</v>
      </c>
      <c r="M490" s="60" t="s">
        <v>1972</v>
      </c>
      <c r="N490" s="12" t="s">
        <v>37</v>
      </c>
      <c r="O490" s="5"/>
      <c r="P490" s="86" t="s">
        <v>1973</v>
      </c>
      <c r="Q490" s="12"/>
      <c r="R490" s="5"/>
      <c r="S490" s="5"/>
      <c r="T490" s="5" t="s">
        <v>39</v>
      </c>
      <c r="U490" s="16">
        <v>35423</v>
      </c>
      <c r="V490" s="5">
        <v>685835380</v>
      </c>
      <c r="W490" s="5" t="s">
        <v>504</v>
      </c>
      <c r="X490" s="6">
        <v>2020</v>
      </c>
      <c r="Y490" s="5" t="s">
        <v>106</v>
      </c>
    </row>
    <row r="491" spans="1:25" ht="13.8">
      <c r="A491" s="24" t="s">
        <v>1974</v>
      </c>
      <c r="B491" s="5" t="s">
        <v>26</v>
      </c>
      <c r="C491" s="5" t="s">
        <v>27</v>
      </c>
      <c r="D491" s="5">
        <v>122</v>
      </c>
      <c r="E491" s="30" t="s">
        <v>124</v>
      </c>
      <c r="F491" s="5" t="s">
        <v>125</v>
      </c>
      <c r="G491" s="5" t="s">
        <v>472</v>
      </c>
      <c r="H491" s="98">
        <v>2</v>
      </c>
      <c r="I491" s="8">
        <v>44105</v>
      </c>
      <c r="J491" s="8">
        <v>46862</v>
      </c>
      <c r="K491" s="5" t="s">
        <v>29</v>
      </c>
      <c r="L491" s="5" t="s">
        <v>35</v>
      </c>
      <c r="M491" s="13" t="s">
        <v>1975</v>
      </c>
      <c r="N491" s="5" t="s">
        <v>150</v>
      </c>
      <c r="O491" s="5"/>
      <c r="P491" s="35"/>
      <c r="Q491" s="12"/>
      <c r="R491" s="5"/>
      <c r="S491" s="5"/>
      <c r="T491" s="5"/>
      <c r="U491" s="5"/>
      <c r="V491" s="5"/>
      <c r="W491" s="5"/>
      <c r="X491" s="5"/>
      <c r="Y491" s="5" t="s">
        <v>266</v>
      </c>
    </row>
    <row r="492" spans="1:25" ht="15">
      <c r="A492" s="17" t="s">
        <v>1976</v>
      </c>
      <c r="B492" s="5" t="s">
        <v>26</v>
      </c>
      <c r="C492" s="5" t="s">
        <v>27</v>
      </c>
      <c r="D492" s="5">
        <v>125</v>
      </c>
      <c r="E492" s="7" t="s">
        <v>131</v>
      </c>
      <c r="F492" s="5" t="s">
        <v>238</v>
      </c>
      <c r="G492" s="5" t="s">
        <v>133</v>
      </c>
      <c r="H492" s="5">
        <v>2</v>
      </c>
      <c r="I492" s="8">
        <v>45566</v>
      </c>
      <c r="J492" s="9">
        <v>47026</v>
      </c>
      <c r="K492" s="5" t="s">
        <v>29</v>
      </c>
      <c r="L492" s="5" t="s">
        <v>141</v>
      </c>
      <c r="M492" s="5" t="s">
        <v>1977</v>
      </c>
      <c r="N492" s="5" t="s">
        <v>143</v>
      </c>
      <c r="O492" s="5"/>
      <c r="P492" s="44" t="s">
        <v>1978</v>
      </c>
      <c r="Q492" s="12"/>
      <c r="R492" s="5"/>
      <c r="S492" s="5"/>
      <c r="T492" s="5" t="s">
        <v>39</v>
      </c>
      <c r="U492" s="8">
        <v>37136</v>
      </c>
      <c r="V492" s="5"/>
      <c r="W492" s="5"/>
      <c r="X492" s="5"/>
      <c r="Y492" s="5" t="s">
        <v>136</v>
      </c>
    </row>
    <row r="493" spans="1:25" ht="13.8">
      <c r="A493" s="26" t="s">
        <v>1979</v>
      </c>
      <c r="B493" s="5" t="s">
        <v>26</v>
      </c>
      <c r="C493" s="5" t="s">
        <v>27</v>
      </c>
      <c r="D493" s="6" t="s">
        <v>409</v>
      </c>
      <c r="E493" s="7" t="s">
        <v>203</v>
      </c>
      <c r="F493" s="5"/>
      <c r="G493" s="5"/>
      <c r="H493" s="5">
        <v>1</v>
      </c>
      <c r="I493" s="8">
        <v>45931</v>
      </c>
      <c r="J493" s="8">
        <v>47391</v>
      </c>
      <c r="K493" s="5" t="s">
        <v>29</v>
      </c>
      <c r="L493" s="5" t="s">
        <v>30</v>
      </c>
      <c r="M493" s="34" t="s">
        <v>1980</v>
      </c>
      <c r="N493" s="5" t="s">
        <v>45</v>
      </c>
      <c r="O493" s="5"/>
      <c r="P493" s="35"/>
      <c r="Q493" s="12"/>
      <c r="R493" s="5"/>
      <c r="S493" s="5"/>
      <c r="T493" s="5"/>
      <c r="U493" s="5"/>
      <c r="V493" s="5"/>
      <c r="W493" s="5"/>
      <c r="X493" s="5"/>
      <c r="Y493" s="5"/>
    </row>
    <row r="494" spans="1:25" ht="27.6">
      <c r="A494" s="17" t="s">
        <v>1981</v>
      </c>
      <c r="B494" s="5" t="s">
        <v>47</v>
      </c>
      <c r="C494" s="5" t="s">
        <v>27</v>
      </c>
      <c r="D494" s="5">
        <v>123</v>
      </c>
      <c r="E494" s="7" t="s">
        <v>249</v>
      </c>
      <c r="F494" s="5" t="s">
        <v>250</v>
      </c>
      <c r="G494" s="5" t="s">
        <v>687</v>
      </c>
      <c r="H494" s="5"/>
      <c r="I494" s="8">
        <v>45383</v>
      </c>
      <c r="J494" s="8">
        <v>45716</v>
      </c>
      <c r="K494" s="5" t="s">
        <v>29</v>
      </c>
      <c r="L494" s="5" t="s">
        <v>35</v>
      </c>
      <c r="M494" s="5"/>
      <c r="N494" s="5" t="s">
        <v>1982</v>
      </c>
      <c r="O494" s="5"/>
      <c r="P494" s="53"/>
      <c r="Q494" s="12" t="s">
        <v>1635</v>
      </c>
      <c r="R494" s="5"/>
      <c r="S494" s="5"/>
      <c r="T494" s="5" t="s">
        <v>39</v>
      </c>
      <c r="U494" s="8">
        <v>27441</v>
      </c>
      <c r="V494" s="5"/>
      <c r="W494" s="5"/>
      <c r="X494" s="5"/>
      <c r="Y494" s="5"/>
    </row>
    <row r="495" spans="1:25" ht="55.2">
      <c r="A495" s="17" t="s">
        <v>1983</v>
      </c>
      <c r="B495" s="5" t="s">
        <v>68</v>
      </c>
      <c r="C495" s="5" t="s">
        <v>498</v>
      </c>
      <c r="D495" s="5">
        <v>124</v>
      </c>
      <c r="E495" s="7" t="s">
        <v>203</v>
      </c>
      <c r="F495" s="5"/>
      <c r="G495" s="5" t="s">
        <v>1984</v>
      </c>
      <c r="H495" s="5">
        <v>3</v>
      </c>
      <c r="I495" s="48">
        <v>44470</v>
      </c>
      <c r="J495" s="48">
        <v>46295</v>
      </c>
      <c r="K495" s="5" t="s">
        <v>29</v>
      </c>
      <c r="L495" s="5" t="s">
        <v>30</v>
      </c>
      <c r="M495" s="28" t="s">
        <v>1985</v>
      </c>
      <c r="N495" s="12" t="s">
        <v>270</v>
      </c>
      <c r="O495" s="5" t="s">
        <v>271</v>
      </c>
      <c r="P495" s="35" t="s">
        <v>1986</v>
      </c>
      <c r="Q495" s="12"/>
      <c r="R495" s="5"/>
      <c r="S495" s="5" t="s">
        <v>1987</v>
      </c>
      <c r="T495" s="5" t="s">
        <v>39</v>
      </c>
      <c r="U495" s="48">
        <v>35525</v>
      </c>
      <c r="V495" s="5" t="s">
        <v>1988</v>
      </c>
      <c r="W495" s="5" t="s">
        <v>40</v>
      </c>
      <c r="X495" s="5">
        <v>2019</v>
      </c>
      <c r="Y495" s="5"/>
    </row>
    <row r="496" spans="1:25" ht="13.8">
      <c r="A496" s="26" t="s">
        <v>1989</v>
      </c>
      <c r="B496" s="5" t="s">
        <v>26</v>
      </c>
      <c r="C496" s="5" t="s">
        <v>27</v>
      </c>
      <c r="D496" s="6" t="s">
        <v>409</v>
      </c>
      <c r="E496" s="7" t="s">
        <v>203</v>
      </c>
      <c r="F496" s="5"/>
      <c r="G496" s="5"/>
      <c r="H496" s="5">
        <v>1</v>
      </c>
      <c r="I496" s="8">
        <v>45931</v>
      </c>
      <c r="J496" s="8">
        <v>47391</v>
      </c>
      <c r="K496" s="5" t="s">
        <v>29</v>
      </c>
      <c r="L496" s="5" t="s">
        <v>30</v>
      </c>
      <c r="M496" s="34" t="s">
        <v>1990</v>
      </c>
      <c r="N496" s="5" t="s">
        <v>45</v>
      </c>
      <c r="O496" s="5"/>
      <c r="P496" s="35"/>
      <c r="Q496" s="12"/>
      <c r="R496" s="5"/>
      <c r="S496" s="5"/>
      <c r="T496" s="5"/>
      <c r="U496" s="5"/>
      <c r="V496" s="5"/>
      <c r="W496" s="5"/>
      <c r="X496" s="5"/>
      <c r="Y496" s="5"/>
    </row>
    <row r="497" spans="1:25" ht="13.8">
      <c r="A497" s="17" t="s">
        <v>1991</v>
      </c>
      <c r="B497" s="5" t="s">
        <v>26</v>
      </c>
      <c r="C497" s="5" t="s">
        <v>27</v>
      </c>
      <c r="D497" s="5">
        <v>125</v>
      </c>
      <c r="E497" s="7" t="s">
        <v>104</v>
      </c>
      <c r="F497" s="5" t="s">
        <v>477</v>
      </c>
      <c r="G497" s="5" t="s">
        <v>632</v>
      </c>
      <c r="H497" s="5">
        <v>1</v>
      </c>
      <c r="I497" s="8">
        <v>45594</v>
      </c>
      <c r="J497" s="36">
        <v>47054</v>
      </c>
      <c r="K497" s="5" t="s">
        <v>83</v>
      </c>
      <c r="L497" s="5" t="s">
        <v>35</v>
      </c>
      <c r="M497" s="92" t="s">
        <v>1992</v>
      </c>
      <c r="N497" s="5" t="s">
        <v>1535</v>
      </c>
      <c r="O497" s="5"/>
      <c r="P497" s="35"/>
      <c r="Q497" s="12"/>
      <c r="R497" s="5"/>
      <c r="S497" s="5"/>
      <c r="T497" s="5"/>
      <c r="U497" s="5"/>
      <c r="V497" s="5"/>
      <c r="W497" s="5"/>
      <c r="X497" s="5"/>
      <c r="Y497" s="5" t="s">
        <v>106</v>
      </c>
    </row>
    <row r="498" spans="1:25" ht="13.8">
      <c r="A498" s="26" t="s">
        <v>1993</v>
      </c>
      <c r="B498" s="5" t="s">
        <v>26</v>
      </c>
      <c r="C498" s="5" t="s">
        <v>27</v>
      </c>
      <c r="D498" s="6" t="s">
        <v>43</v>
      </c>
      <c r="E498" s="7"/>
      <c r="F498" s="5"/>
      <c r="G498" s="5"/>
      <c r="H498" s="5">
        <v>1</v>
      </c>
      <c r="I498" s="8">
        <v>45931</v>
      </c>
      <c r="J498" s="8">
        <v>47391</v>
      </c>
      <c r="K498" s="5" t="s">
        <v>29</v>
      </c>
      <c r="L498" s="5" t="s">
        <v>30</v>
      </c>
      <c r="M498" s="34" t="s">
        <v>1994</v>
      </c>
      <c r="N498" s="5" t="s">
        <v>45</v>
      </c>
      <c r="O498" s="5"/>
      <c r="P498" s="53"/>
      <c r="Q498" s="12"/>
      <c r="R498" s="5"/>
      <c r="S498" s="5" t="s">
        <v>1081</v>
      </c>
      <c r="T498" s="5" t="s">
        <v>39</v>
      </c>
      <c r="U498" s="8">
        <v>34069</v>
      </c>
      <c r="V498" s="5"/>
      <c r="W498" s="5"/>
      <c r="X498" s="5"/>
      <c r="Y498" s="5"/>
    </row>
    <row r="499" spans="1:25" ht="13.8">
      <c r="A499" s="40" t="s">
        <v>1995</v>
      </c>
      <c r="B499" s="5" t="s">
        <v>26</v>
      </c>
      <c r="C499" s="5" t="s">
        <v>27</v>
      </c>
      <c r="D499" s="29">
        <v>122</v>
      </c>
      <c r="E499" s="30" t="s">
        <v>28</v>
      </c>
      <c r="F499" s="5"/>
      <c r="G499" s="13" t="s">
        <v>1171</v>
      </c>
      <c r="H499" s="5">
        <v>3</v>
      </c>
      <c r="I499" s="8">
        <v>45200</v>
      </c>
      <c r="J499" s="8">
        <v>46660</v>
      </c>
      <c r="K499" s="5" t="s">
        <v>29</v>
      </c>
      <c r="L499" s="5" t="s">
        <v>35</v>
      </c>
      <c r="M499" s="13"/>
      <c r="N499" s="5" t="s">
        <v>85</v>
      </c>
      <c r="O499" s="5"/>
      <c r="P499" s="5" t="s">
        <v>1996</v>
      </c>
      <c r="Q499" s="12"/>
      <c r="R499" s="5"/>
      <c r="S499" s="5"/>
      <c r="T499" s="31" t="s">
        <v>39</v>
      </c>
      <c r="U499" s="33">
        <v>32153</v>
      </c>
      <c r="V499" s="5"/>
      <c r="W499" s="5"/>
      <c r="X499" s="5"/>
      <c r="Y499" s="5" t="s">
        <v>31</v>
      </c>
    </row>
    <row r="500" spans="1:25" ht="13.8">
      <c r="A500" s="26" t="s">
        <v>1997</v>
      </c>
      <c r="B500" s="5" t="s">
        <v>26</v>
      </c>
      <c r="C500" s="5" t="s">
        <v>27</v>
      </c>
      <c r="D500" s="5">
        <v>125</v>
      </c>
      <c r="E500" s="7" t="s">
        <v>104</v>
      </c>
      <c r="F500" s="5" t="s">
        <v>922</v>
      </c>
      <c r="G500" s="5" t="s">
        <v>632</v>
      </c>
      <c r="H500" s="5">
        <v>3</v>
      </c>
      <c r="I500" s="8">
        <v>45047</v>
      </c>
      <c r="J500" s="8">
        <v>46507</v>
      </c>
      <c r="K500" s="5" t="s">
        <v>29</v>
      </c>
      <c r="L500" s="5" t="s">
        <v>35</v>
      </c>
      <c r="M500" s="53" t="s">
        <v>1998</v>
      </c>
      <c r="N500" s="12" t="s">
        <v>37</v>
      </c>
      <c r="O500" s="5"/>
      <c r="P500" s="72" t="s">
        <v>1999</v>
      </c>
      <c r="Q500" s="12"/>
      <c r="R500" s="5"/>
      <c r="S500" s="5"/>
      <c r="T500" s="5" t="s">
        <v>39</v>
      </c>
      <c r="U500" s="16">
        <v>36599</v>
      </c>
      <c r="V500" s="5">
        <f>380951398875</f>
        <v>380951398875</v>
      </c>
      <c r="W500" s="5" t="s">
        <v>40</v>
      </c>
      <c r="X500" s="6">
        <v>2022</v>
      </c>
      <c r="Y500" s="5" t="s">
        <v>106</v>
      </c>
    </row>
    <row r="501" spans="1:25" ht="13.8">
      <c r="A501" s="26" t="s">
        <v>2000</v>
      </c>
      <c r="B501" s="5" t="s">
        <v>26</v>
      </c>
      <c r="C501" s="5" t="s">
        <v>27</v>
      </c>
      <c r="D501" s="29">
        <v>121</v>
      </c>
      <c r="E501" s="30" t="s">
        <v>77</v>
      </c>
      <c r="F501" s="5"/>
      <c r="G501" s="13" t="s">
        <v>2001</v>
      </c>
      <c r="H501" s="5">
        <v>3</v>
      </c>
      <c r="I501" s="8">
        <v>45200</v>
      </c>
      <c r="J501" s="8">
        <v>46660</v>
      </c>
      <c r="K501" s="5" t="s">
        <v>29</v>
      </c>
      <c r="L501" s="5" t="s">
        <v>50</v>
      </c>
      <c r="M501" s="13" t="s">
        <v>2002</v>
      </c>
      <c r="N501" s="5" t="s">
        <v>85</v>
      </c>
      <c r="O501" s="5"/>
      <c r="P501" s="5" t="s">
        <v>2003</v>
      </c>
      <c r="Q501" s="12"/>
      <c r="R501" s="5"/>
      <c r="S501" s="5"/>
      <c r="T501" s="31" t="s">
        <v>39</v>
      </c>
      <c r="U501" s="33">
        <v>36438</v>
      </c>
      <c r="V501" s="5"/>
      <c r="W501" s="5"/>
      <c r="X501" s="5"/>
      <c r="Y501" s="5" t="s">
        <v>94</v>
      </c>
    </row>
    <row r="502" spans="1:25" ht="13.8">
      <c r="A502" s="17" t="s">
        <v>2004</v>
      </c>
      <c r="B502" s="5" t="s">
        <v>47</v>
      </c>
      <c r="C502" s="5" t="s">
        <v>27</v>
      </c>
      <c r="D502" s="5">
        <v>126</v>
      </c>
      <c r="E502" s="7" t="s">
        <v>80</v>
      </c>
      <c r="F502" s="5" t="s">
        <v>81</v>
      </c>
      <c r="G502" s="5" t="s">
        <v>456</v>
      </c>
      <c r="H502" s="5"/>
      <c r="I502" s="48">
        <v>44470</v>
      </c>
      <c r="J502" s="48">
        <v>45929</v>
      </c>
      <c r="K502" s="5" t="s">
        <v>29</v>
      </c>
      <c r="L502" s="5" t="s">
        <v>30</v>
      </c>
      <c r="M502" s="49" t="s">
        <v>2005</v>
      </c>
      <c r="N502" s="12" t="s">
        <v>270</v>
      </c>
      <c r="O502" s="5" t="s">
        <v>271</v>
      </c>
      <c r="P502" s="53" t="s">
        <v>2006</v>
      </c>
      <c r="Q502" s="12" t="s">
        <v>664</v>
      </c>
      <c r="R502" s="5" t="s">
        <v>492</v>
      </c>
      <c r="S502" s="5"/>
      <c r="T502" s="5" t="s">
        <v>39</v>
      </c>
      <c r="U502" s="79">
        <v>35759</v>
      </c>
      <c r="V502" s="50" t="s">
        <v>2007</v>
      </c>
      <c r="W502" s="5" t="s">
        <v>40</v>
      </c>
      <c r="X502" s="5">
        <v>2021</v>
      </c>
      <c r="Y502" s="5"/>
    </row>
    <row r="503" spans="1:25" ht="13.8">
      <c r="A503" s="26" t="s">
        <v>2008</v>
      </c>
      <c r="B503" s="5" t="s">
        <v>26</v>
      </c>
      <c r="C503" s="5" t="s">
        <v>27</v>
      </c>
      <c r="D503" s="6" t="s">
        <v>554</v>
      </c>
      <c r="E503" s="7"/>
      <c r="F503" s="5"/>
      <c r="G503" s="5"/>
      <c r="H503" s="5">
        <v>1</v>
      </c>
      <c r="I503" s="8">
        <v>45931</v>
      </c>
      <c r="J503" s="8">
        <v>47391</v>
      </c>
      <c r="K503" s="5" t="s">
        <v>29</v>
      </c>
      <c r="L503" s="5" t="s">
        <v>30</v>
      </c>
      <c r="M503" s="34" t="s">
        <v>2009</v>
      </c>
      <c r="N503" s="5" t="s">
        <v>45</v>
      </c>
      <c r="O503" s="5"/>
      <c r="P503" s="35"/>
      <c r="Q503" s="12"/>
      <c r="R503" s="5"/>
      <c r="S503" s="5"/>
      <c r="T503" s="5"/>
      <c r="U503" s="5"/>
      <c r="V503" s="5"/>
      <c r="W503" s="5"/>
      <c r="X503" s="5"/>
      <c r="Y503" s="5"/>
    </row>
    <row r="504" spans="1:25" ht="13.8">
      <c r="A504" s="24" t="s">
        <v>2010</v>
      </c>
      <c r="B504" s="5" t="s">
        <v>68</v>
      </c>
      <c r="C504" s="5" t="s">
        <v>1013</v>
      </c>
      <c r="D504" s="61">
        <v>121</v>
      </c>
      <c r="E504" s="7" t="s">
        <v>2011</v>
      </c>
      <c r="F504" s="5"/>
      <c r="G504" s="61" t="s">
        <v>985</v>
      </c>
      <c r="H504" s="61">
        <v>4</v>
      </c>
      <c r="I504" s="9">
        <v>44621</v>
      </c>
      <c r="J504" s="9">
        <v>46081</v>
      </c>
      <c r="K504" s="5" t="s">
        <v>29</v>
      </c>
      <c r="L504" s="61" t="s">
        <v>35</v>
      </c>
      <c r="M504" s="28" t="s">
        <v>2012</v>
      </c>
      <c r="N504" s="69" t="s">
        <v>638</v>
      </c>
      <c r="O504" s="61" t="s">
        <v>2013</v>
      </c>
      <c r="P504" s="99" t="s">
        <v>2014</v>
      </c>
      <c r="Q504" s="100"/>
      <c r="R504" s="61"/>
      <c r="S504" s="61" t="s">
        <v>2015</v>
      </c>
      <c r="T504" s="61" t="s">
        <v>39</v>
      </c>
      <c r="U504" s="101">
        <v>35750</v>
      </c>
      <c r="V504" s="61" t="s">
        <v>2016</v>
      </c>
      <c r="W504" s="61" t="s">
        <v>40</v>
      </c>
      <c r="X504" s="61">
        <v>2021</v>
      </c>
      <c r="Y504" s="5"/>
    </row>
    <row r="505" spans="1:25" ht="15">
      <c r="A505" s="17" t="s">
        <v>2017</v>
      </c>
      <c r="B505" s="5" t="s">
        <v>26</v>
      </c>
      <c r="C505" s="5" t="s">
        <v>27</v>
      </c>
      <c r="D505" s="5">
        <v>172</v>
      </c>
      <c r="E505" s="7" t="s">
        <v>278</v>
      </c>
      <c r="F505" s="5"/>
      <c r="G505" s="5" t="s">
        <v>896</v>
      </c>
      <c r="H505" s="5">
        <v>2</v>
      </c>
      <c r="I505" s="8">
        <v>45566</v>
      </c>
      <c r="J505" s="9">
        <v>47026</v>
      </c>
      <c r="K505" s="5" t="s">
        <v>29</v>
      </c>
      <c r="L505" s="5" t="s">
        <v>141</v>
      </c>
      <c r="M505" s="52" t="s">
        <v>2018</v>
      </c>
      <c r="N505" s="5" t="s">
        <v>143</v>
      </c>
      <c r="O505" s="5"/>
      <c r="P505" s="44" t="s">
        <v>2019</v>
      </c>
      <c r="Q505" s="12"/>
      <c r="R505" s="5"/>
      <c r="S505" s="5"/>
      <c r="T505" s="5" t="s">
        <v>39</v>
      </c>
      <c r="U505" s="8">
        <v>28544</v>
      </c>
      <c r="V505" s="5"/>
      <c r="W505" s="5"/>
      <c r="X505" s="5"/>
      <c r="Y505" s="5" t="s">
        <v>266</v>
      </c>
    </row>
    <row r="506" spans="1:25" ht="13.8">
      <c r="A506" s="26" t="s">
        <v>2020</v>
      </c>
      <c r="B506" s="5" t="s">
        <v>26</v>
      </c>
      <c r="C506" s="5" t="s">
        <v>27</v>
      </c>
      <c r="D506" s="6" t="s">
        <v>103</v>
      </c>
      <c r="E506" s="7" t="s">
        <v>104</v>
      </c>
      <c r="F506" s="5"/>
      <c r="G506" s="5"/>
      <c r="H506" s="5">
        <v>1</v>
      </c>
      <c r="I506" s="8">
        <v>45931</v>
      </c>
      <c r="J506" s="8">
        <v>47391</v>
      </c>
      <c r="K506" s="5" t="s">
        <v>29</v>
      </c>
      <c r="L506" s="5" t="s">
        <v>30</v>
      </c>
      <c r="M506" s="34" t="s">
        <v>2021</v>
      </c>
      <c r="N506" s="5" t="s">
        <v>45</v>
      </c>
      <c r="O506" s="5"/>
      <c r="P506" s="35"/>
      <c r="Q506" s="12"/>
      <c r="R506" s="5"/>
      <c r="S506" s="5"/>
      <c r="T506" s="5"/>
      <c r="U506" s="5"/>
      <c r="V506" s="5"/>
      <c r="W506" s="5"/>
      <c r="X506" s="5"/>
      <c r="Y506" s="5"/>
    </row>
    <row r="507" spans="1:25" ht="13.8">
      <c r="A507" s="17" t="s">
        <v>2022</v>
      </c>
      <c r="B507" s="5" t="s">
        <v>26</v>
      </c>
      <c r="C507" s="5" t="s">
        <v>27</v>
      </c>
      <c r="D507" s="5">
        <v>51</v>
      </c>
      <c r="E507" s="7" t="s">
        <v>192</v>
      </c>
      <c r="F507" s="5" t="s">
        <v>193</v>
      </c>
      <c r="G507" s="5" t="s">
        <v>412</v>
      </c>
      <c r="H507" s="5">
        <v>4</v>
      </c>
      <c r="I507" s="8">
        <v>44835</v>
      </c>
      <c r="J507" s="8">
        <v>46295</v>
      </c>
      <c r="K507" s="5" t="s">
        <v>29</v>
      </c>
      <c r="L507" s="5" t="s">
        <v>35</v>
      </c>
      <c r="M507" s="28" t="s">
        <v>2023</v>
      </c>
      <c r="N507" s="21" t="s">
        <v>52</v>
      </c>
      <c r="O507" s="5" t="s">
        <v>64</v>
      </c>
      <c r="P507" s="102" t="s">
        <v>2024</v>
      </c>
      <c r="Q507" s="12"/>
      <c r="R507" s="5"/>
      <c r="S507" s="5"/>
      <c r="T507" s="5" t="s">
        <v>39</v>
      </c>
      <c r="U507" s="16">
        <v>30553</v>
      </c>
      <c r="V507" s="5" t="s">
        <v>2025</v>
      </c>
      <c r="W507" s="5" t="s">
        <v>2026</v>
      </c>
      <c r="X507" s="6">
        <v>2005</v>
      </c>
      <c r="Y507" s="5" t="s">
        <v>41</v>
      </c>
    </row>
    <row r="508" spans="1:25" ht="15">
      <c r="A508" s="17" t="s">
        <v>2027</v>
      </c>
      <c r="B508" s="5" t="s">
        <v>26</v>
      </c>
      <c r="C508" s="5" t="s">
        <v>27</v>
      </c>
      <c r="D508" s="5">
        <v>122</v>
      </c>
      <c r="E508" s="7" t="s">
        <v>294</v>
      </c>
      <c r="F508" s="5" t="s">
        <v>311</v>
      </c>
      <c r="G508" s="5" t="s">
        <v>967</v>
      </c>
      <c r="H508" s="5">
        <v>2</v>
      </c>
      <c r="I508" s="8">
        <v>45566</v>
      </c>
      <c r="J508" s="9">
        <v>47026</v>
      </c>
      <c r="K508" s="5" t="s">
        <v>29</v>
      </c>
      <c r="L508" s="5" t="s">
        <v>141</v>
      </c>
      <c r="M508" s="5" t="s">
        <v>2028</v>
      </c>
      <c r="N508" s="5" t="s">
        <v>143</v>
      </c>
      <c r="O508" s="5"/>
      <c r="P508" s="44" t="s">
        <v>2029</v>
      </c>
      <c r="Q508" s="12"/>
      <c r="R508" s="5"/>
      <c r="S508" s="5"/>
      <c r="T508" s="5" t="s">
        <v>39</v>
      </c>
      <c r="U508" s="36">
        <v>36125</v>
      </c>
      <c r="V508" s="5"/>
      <c r="W508" s="5"/>
      <c r="X508" s="5"/>
      <c r="Y508" s="5" t="s">
        <v>299</v>
      </c>
    </row>
    <row r="509" spans="1:25" ht="13.8">
      <c r="A509" s="26" t="s">
        <v>2030</v>
      </c>
      <c r="B509" s="5" t="s">
        <v>26</v>
      </c>
      <c r="C509" s="5" t="s">
        <v>27</v>
      </c>
      <c r="D509" s="29">
        <v>125</v>
      </c>
      <c r="E509" s="30" t="s">
        <v>104</v>
      </c>
      <c r="F509" s="5" t="s">
        <v>477</v>
      </c>
      <c r="G509" s="52" t="s">
        <v>2031</v>
      </c>
      <c r="H509" s="5">
        <v>2</v>
      </c>
      <c r="I509" s="8">
        <v>45231</v>
      </c>
      <c r="J509" s="36">
        <v>46691</v>
      </c>
      <c r="K509" s="5" t="s">
        <v>29</v>
      </c>
      <c r="L509" s="5" t="s">
        <v>35</v>
      </c>
      <c r="M509" s="103" t="s">
        <v>2032</v>
      </c>
      <c r="N509" s="37" t="s">
        <v>128</v>
      </c>
      <c r="O509" s="5"/>
      <c r="P509" s="5" t="s">
        <v>2033</v>
      </c>
      <c r="Q509" s="12"/>
      <c r="R509" s="5"/>
      <c r="S509" s="5"/>
      <c r="T509" s="5" t="s">
        <v>39</v>
      </c>
      <c r="U509" s="33">
        <v>35158</v>
      </c>
      <c r="V509" s="5"/>
      <c r="W509" s="5"/>
      <c r="X509" s="5"/>
      <c r="Y509" s="5" t="s">
        <v>106</v>
      </c>
    </row>
    <row r="510" spans="1:25" ht="13.8">
      <c r="A510" s="17" t="s">
        <v>2034</v>
      </c>
      <c r="B510" s="5" t="s">
        <v>47</v>
      </c>
      <c r="C510" s="5" t="s">
        <v>27</v>
      </c>
      <c r="D510" s="5">
        <v>172</v>
      </c>
      <c r="E510" s="7" t="s">
        <v>131</v>
      </c>
      <c r="F510" s="5" t="s">
        <v>238</v>
      </c>
      <c r="G510" s="5" t="s">
        <v>2035</v>
      </c>
      <c r="H510" s="5"/>
      <c r="I510" s="48">
        <v>44470</v>
      </c>
      <c r="J510" s="48">
        <v>45930</v>
      </c>
      <c r="K510" s="5" t="s">
        <v>29</v>
      </c>
      <c r="L510" s="5" t="s">
        <v>30</v>
      </c>
      <c r="M510" s="49" t="s">
        <v>2036</v>
      </c>
      <c r="N510" s="12" t="s">
        <v>270</v>
      </c>
      <c r="O510" s="5" t="s">
        <v>271</v>
      </c>
      <c r="P510" s="53" t="s">
        <v>2037</v>
      </c>
      <c r="Q510" s="12" t="s">
        <v>1141</v>
      </c>
      <c r="R510" s="5" t="s">
        <v>1142</v>
      </c>
      <c r="S510" s="5"/>
      <c r="T510" s="5" t="s">
        <v>39</v>
      </c>
      <c r="U510" s="48">
        <v>35689</v>
      </c>
      <c r="V510" s="5" t="s">
        <v>2038</v>
      </c>
      <c r="W510" s="5" t="s">
        <v>40</v>
      </c>
      <c r="X510" s="5">
        <v>2021</v>
      </c>
      <c r="Y510" s="5"/>
    </row>
    <row r="511" spans="1:25" ht="13.8">
      <c r="A511" s="26" t="s">
        <v>2039</v>
      </c>
      <c r="B511" s="5" t="s">
        <v>26</v>
      </c>
      <c r="C511" s="5" t="s">
        <v>27</v>
      </c>
      <c r="D511" s="29">
        <v>51</v>
      </c>
      <c r="E511" s="30" t="s">
        <v>192</v>
      </c>
      <c r="F511" s="5" t="s">
        <v>193</v>
      </c>
      <c r="G511" s="13" t="s">
        <v>1922</v>
      </c>
      <c r="H511" s="5">
        <v>2</v>
      </c>
      <c r="I511" s="8">
        <v>45231</v>
      </c>
      <c r="J511" s="36">
        <v>46691</v>
      </c>
      <c r="K511" s="5" t="s">
        <v>29</v>
      </c>
      <c r="L511" s="5" t="s">
        <v>35</v>
      </c>
      <c r="M511" s="13" t="s">
        <v>2040</v>
      </c>
      <c r="N511" s="37" t="s">
        <v>128</v>
      </c>
      <c r="O511" s="5"/>
      <c r="P511" s="5" t="s">
        <v>2041</v>
      </c>
      <c r="Q511" s="12"/>
      <c r="R511" s="5"/>
      <c r="S511" s="5"/>
      <c r="T511" s="31" t="s">
        <v>39</v>
      </c>
      <c r="U511" s="33">
        <v>34932</v>
      </c>
      <c r="V511" s="5"/>
      <c r="W511" s="5"/>
      <c r="X511" s="5"/>
      <c r="Y511" s="5" t="s">
        <v>41</v>
      </c>
    </row>
    <row r="512" spans="1:25" ht="15">
      <c r="A512" s="17" t="s">
        <v>2042</v>
      </c>
      <c r="B512" s="5" t="s">
        <v>26</v>
      </c>
      <c r="C512" s="5" t="s">
        <v>27</v>
      </c>
      <c r="D512" s="5">
        <v>126</v>
      </c>
      <c r="E512" s="7" t="s">
        <v>80</v>
      </c>
      <c r="F512" s="5" t="s">
        <v>81</v>
      </c>
      <c r="G512" s="5" t="s">
        <v>740</v>
      </c>
      <c r="H512" s="5">
        <v>2</v>
      </c>
      <c r="I512" s="8">
        <v>45566</v>
      </c>
      <c r="J512" s="9">
        <v>47026</v>
      </c>
      <c r="K512" s="5" t="s">
        <v>29</v>
      </c>
      <c r="L512" s="5" t="s">
        <v>141</v>
      </c>
      <c r="M512" s="5" t="s">
        <v>2043</v>
      </c>
      <c r="N512" s="5" t="s">
        <v>143</v>
      </c>
      <c r="O512" s="5"/>
      <c r="P512" s="44" t="s">
        <v>2044</v>
      </c>
      <c r="Q512" s="12"/>
      <c r="R512" s="5"/>
      <c r="S512" s="5"/>
      <c r="T512" s="5" t="s">
        <v>39</v>
      </c>
      <c r="U512" s="36">
        <v>31698</v>
      </c>
      <c r="V512" s="5"/>
      <c r="W512" s="5"/>
      <c r="X512" s="5"/>
      <c r="Y512" s="5" t="s">
        <v>88</v>
      </c>
    </row>
    <row r="513" spans="1:25" ht="27.6">
      <c r="A513" s="26" t="s">
        <v>2045</v>
      </c>
      <c r="B513" s="5" t="s">
        <v>47</v>
      </c>
      <c r="C513" s="5" t="s">
        <v>27</v>
      </c>
      <c r="D513" s="5">
        <v>121</v>
      </c>
      <c r="E513" s="7" t="s">
        <v>77</v>
      </c>
      <c r="F513" s="5"/>
      <c r="G513" s="5" t="s">
        <v>521</v>
      </c>
      <c r="H513" s="5"/>
      <c r="I513" s="8">
        <v>45047</v>
      </c>
      <c r="J513" s="8">
        <v>45777</v>
      </c>
      <c r="K513" s="5" t="s">
        <v>29</v>
      </c>
      <c r="L513" s="5" t="s">
        <v>35</v>
      </c>
      <c r="M513" s="60" t="s">
        <v>2046</v>
      </c>
      <c r="N513" s="12" t="s">
        <v>37</v>
      </c>
      <c r="O513" s="5"/>
      <c r="P513" s="72" t="s">
        <v>2047</v>
      </c>
      <c r="Q513" s="12" t="s">
        <v>2048</v>
      </c>
      <c r="R513" s="5"/>
      <c r="S513" s="5"/>
      <c r="T513" s="5" t="s">
        <v>39</v>
      </c>
      <c r="U513" s="16">
        <v>35505</v>
      </c>
      <c r="V513" s="5">
        <v>974332887</v>
      </c>
      <c r="W513" s="5" t="s">
        <v>40</v>
      </c>
      <c r="X513" s="6">
        <v>2020</v>
      </c>
      <c r="Y513" s="5"/>
    </row>
    <row r="514" spans="1:25" ht="13.8">
      <c r="A514" s="26" t="s">
        <v>2049</v>
      </c>
      <c r="B514" s="5" t="s">
        <v>26</v>
      </c>
      <c r="C514" s="5" t="s">
        <v>27</v>
      </c>
      <c r="D514" s="6" t="s">
        <v>76</v>
      </c>
      <c r="E514" s="7" t="s">
        <v>77</v>
      </c>
      <c r="F514" s="5"/>
      <c r="G514" s="5"/>
      <c r="H514" s="5">
        <v>1</v>
      </c>
      <c r="I514" s="8">
        <v>45931</v>
      </c>
      <c r="J514" s="8">
        <v>47391</v>
      </c>
      <c r="K514" s="5" t="s">
        <v>29</v>
      </c>
      <c r="L514" s="5" t="s">
        <v>30</v>
      </c>
      <c r="M514" s="34" t="s">
        <v>2050</v>
      </c>
      <c r="N514" s="5" t="s">
        <v>45</v>
      </c>
      <c r="O514" s="5"/>
      <c r="P514" s="35"/>
      <c r="Q514" s="12"/>
      <c r="R514" s="5"/>
      <c r="S514" s="5"/>
      <c r="T514" s="5"/>
      <c r="U514" s="5"/>
      <c r="V514" s="5"/>
      <c r="W514" s="5"/>
      <c r="X514" s="5"/>
      <c r="Y514" s="5"/>
    </row>
    <row r="515" spans="1:25" ht="13.8">
      <c r="A515" s="17" t="s">
        <v>2051</v>
      </c>
      <c r="B515" s="5" t="s">
        <v>47</v>
      </c>
      <c r="C515" s="5" t="s">
        <v>27</v>
      </c>
      <c r="D515" s="5">
        <v>122</v>
      </c>
      <c r="E515" s="7" t="s">
        <v>33</v>
      </c>
      <c r="F515" s="5"/>
      <c r="G515" s="37" t="s">
        <v>49</v>
      </c>
      <c r="H515" s="5"/>
      <c r="I515" s="48">
        <v>44470</v>
      </c>
      <c r="J515" s="48">
        <v>45853</v>
      </c>
      <c r="K515" s="5" t="s">
        <v>29</v>
      </c>
      <c r="L515" s="5" t="s">
        <v>30</v>
      </c>
      <c r="M515" s="49" t="s">
        <v>2052</v>
      </c>
      <c r="N515" s="12" t="s">
        <v>270</v>
      </c>
      <c r="O515" s="5" t="s">
        <v>271</v>
      </c>
      <c r="P515" s="53" t="s">
        <v>2053</v>
      </c>
      <c r="Q515" s="12" t="s">
        <v>928</v>
      </c>
      <c r="R515" s="5" t="s">
        <v>492</v>
      </c>
      <c r="S515" s="5"/>
      <c r="T515" s="5" t="s">
        <v>57</v>
      </c>
      <c r="U515" s="48">
        <v>36022</v>
      </c>
      <c r="V515" s="5" t="s">
        <v>2054</v>
      </c>
      <c r="W515" s="5" t="s">
        <v>40</v>
      </c>
      <c r="X515" s="5">
        <v>2020</v>
      </c>
      <c r="Y515" s="5"/>
    </row>
    <row r="516" spans="1:25" ht="13.8">
      <c r="A516" s="26" t="s">
        <v>2055</v>
      </c>
      <c r="B516" s="5" t="s">
        <v>26</v>
      </c>
      <c r="C516" s="5" t="s">
        <v>27</v>
      </c>
      <c r="D516" s="5">
        <v>122</v>
      </c>
      <c r="E516" s="7" t="s">
        <v>294</v>
      </c>
      <c r="F516" s="5" t="s">
        <v>295</v>
      </c>
      <c r="G516" s="5" t="s">
        <v>312</v>
      </c>
      <c r="H516" s="5">
        <v>3</v>
      </c>
      <c r="I516" s="8">
        <v>45047</v>
      </c>
      <c r="J516" s="8">
        <v>46507</v>
      </c>
      <c r="K516" s="5" t="s">
        <v>29</v>
      </c>
      <c r="L516" s="5" t="s">
        <v>35</v>
      </c>
      <c r="M516" s="60" t="s">
        <v>2056</v>
      </c>
      <c r="N516" s="12" t="s">
        <v>37</v>
      </c>
      <c r="O516" s="5"/>
      <c r="P516" s="72" t="s">
        <v>2057</v>
      </c>
      <c r="Q516" s="12"/>
      <c r="R516" s="5"/>
      <c r="S516" s="5"/>
      <c r="T516" s="5" t="s">
        <v>39</v>
      </c>
      <c r="U516" s="16">
        <v>27061</v>
      </c>
      <c r="V516" s="5">
        <v>982537556</v>
      </c>
      <c r="W516" s="5" t="s">
        <v>2058</v>
      </c>
      <c r="X516" s="6">
        <v>1996</v>
      </c>
      <c r="Y516" s="5" t="s">
        <v>299</v>
      </c>
    </row>
    <row r="517" spans="1:25" ht="13.8">
      <c r="A517" s="26" t="s">
        <v>2059</v>
      </c>
      <c r="B517" s="5" t="s">
        <v>26</v>
      </c>
      <c r="C517" s="5" t="s">
        <v>27</v>
      </c>
      <c r="D517" s="29">
        <v>105</v>
      </c>
      <c r="E517" s="30" t="s">
        <v>216</v>
      </c>
      <c r="F517" s="5"/>
      <c r="G517" s="13" t="s">
        <v>2060</v>
      </c>
      <c r="H517" s="5">
        <v>3</v>
      </c>
      <c r="I517" s="8">
        <v>45200</v>
      </c>
      <c r="J517" s="8">
        <v>46660</v>
      </c>
      <c r="K517" s="5" t="s">
        <v>29</v>
      </c>
      <c r="L517" s="5" t="s">
        <v>35</v>
      </c>
      <c r="M517" s="13" t="s">
        <v>2061</v>
      </c>
      <c r="N517" s="5" t="s">
        <v>85</v>
      </c>
      <c r="O517" s="5"/>
      <c r="P517" s="5" t="s">
        <v>2062</v>
      </c>
      <c r="Q517" s="12"/>
      <c r="R517" s="5"/>
      <c r="S517" s="5" t="s">
        <v>361</v>
      </c>
      <c r="T517" s="31" t="s">
        <v>39</v>
      </c>
      <c r="U517" s="33">
        <v>30908</v>
      </c>
      <c r="V517" s="5"/>
      <c r="W517" s="5"/>
      <c r="X517" s="5"/>
      <c r="Y517" s="5" t="s">
        <v>220</v>
      </c>
    </row>
    <row r="518" spans="1:25" ht="13.8">
      <c r="A518" s="26" t="s">
        <v>2063</v>
      </c>
      <c r="B518" s="5" t="s">
        <v>26</v>
      </c>
      <c r="C518" s="5" t="s">
        <v>27</v>
      </c>
      <c r="D518" s="29">
        <v>122</v>
      </c>
      <c r="E518" s="30" t="s">
        <v>28</v>
      </c>
      <c r="F518" s="5"/>
      <c r="G518" s="13" t="s">
        <v>2064</v>
      </c>
      <c r="H518" s="5">
        <v>2</v>
      </c>
      <c r="I518" s="8">
        <v>45231</v>
      </c>
      <c r="J518" s="36">
        <v>46691</v>
      </c>
      <c r="K518" s="5" t="s">
        <v>29</v>
      </c>
      <c r="L518" s="5" t="s">
        <v>35</v>
      </c>
      <c r="M518" s="13" t="s">
        <v>2065</v>
      </c>
      <c r="N518" s="37" t="s">
        <v>128</v>
      </c>
      <c r="O518" s="5"/>
      <c r="P518" s="5" t="s">
        <v>2066</v>
      </c>
      <c r="Q518" s="12"/>
      <c r="R518" s="5"/>
      <c r="S518" s="5"/>
      <c r="T518" s="37" t="s">
        <v>39</v>
      </c>
      <c r="U518" s="32">
        <v>26263</v>
      </c>
      <c r="V518" s="5"/>
      <c r="W518" s="5"/>
      <c r="X518" s="5"/>
      <c r="Y518" s="5" t="s">
        <v>31</v>
      </c>
    </row>
    <row r="519" spans="1:25" ht="13.8">
      <c r="A519" s="17" t="s">
        <v>2067</v>
      </c>
      <c r="B519" s="5" t="s">
        <v>26</v>
      </c>
      <c r="C519" s="5" t="s">
        <v>27</v>
      </c>
      <c r="D519" s="5">
        <v>122</v>
      </c>
      <c r="E519" s="7" t="s">
        <v>28</v>
      </c>
      <c r="F519" s="5"/>
      <c r="G519" s="5" t="s">
        <v>2068</v>
      </c>
      <c r="H519" s="5">
        <v>1</v>
      </c>
      <c r="I519" s="8">
        <v>45594</v>
      </c>
      <c r="J519" s="36">
        <v>47054</v>
      </c>
      <c r="K519" s="5" t="s">
        <v>83</v>
      </c>
      <c r="L519" s="5" t="s">
        <v>35</v>
      </c>
      <c r="M519" s="92" t="s">
        <v>2069</v>
      </c>
      <c r="N519" s="5" t="s">
        <v>1535</v>
      </c>
      <c r="O519" s="5"/>
      <c r="P519" s="35"/>
      <c r="Q519" s="12"/>
      <c r="R519" s="5"/>
      <c r="S519" s="5"/>
      <c r="T519" s="5"/>
      <c r="U519" s="5"/>
      <c r="V519" s="5"/>
      <c r="W519" s="5"/>
      <c r="X519" s="5"/>
      <c r="Y519" s="5" t="s">
        <v>31</v>
      </c>
    </row>
    <row r="520" spans="1:25" ht="15">
      <c r="A520" s="17" t="s">
        <v>2070</v>
      </c>
      <c r="B520" s="5" t="s">
        <v>26</v>
      </c>
      <c r="C520" s="5" t="s">
        <v>27</v>
      </c>
      <c r="D520" s="5">
        <v>171</v>
      </c>
      <c r="E520" s="7" t="s">
        <v>115</v>
      </c>
      <c r="F520" s="5"/>
      <c r="G520" s="5" t="s">
        <v>736</v>
      </c>
      <c r="H520" s="5">
        <v>2</v>
      </c>
      <c r="I520" s="8">
        <v>45566</v>
      </c>
      <c r="J520" s="9">
        <v>47026</v>
      </c>
      <c r="K520" s="5" t="s">
        <v>29</v>
      </c>
      <c r="L520" s="5" t="s">
        <v>141</v>
      </c>
      <c r="M520" s="5" t="s">
        <v>2071</v>
      </c>
      <c r="N520" s="5" t="s">
        <v>143</v>
      </c>
      <c r="O520" s="5"/>
      <c r="P520" s="44" t="s">
        <v>2072</v>
      </c>
      <c r="Q520" s="12"/>
      <c r="R520" s="5"/>
      <c r="S520" s="5"/>
      <c r="T520" s="5" t="s">
        <v>57</v>
      </c>
      <c r="U520" s="8">
        <v>36704</v>
      </c>
      <c r="V520" s="5"/>
      <c r="W520" s="5"/>
      <c r="X520" s="5"/>
      <c r="Y520" s="5" t="s">
        <v>160</v>
      </c>
    </row>
    <row r="521" spans="1:25" ht="13.8">
      <c r="A521" s="17" t="s">
        <v>2073</v>
      </c>
      <c r="B521" s="5" t="s">
        <v>26</v>
      </c>
      <c r="C521" s="5" t="s">
        <v>118</v>
      </c>
      <c r="D521" s="6" t="s">
        <v>554</v>
      </c>
      <c r="E521" s="7" t="s">
        <v>80</v>
      </c>
      <c r="F521" s="5"/>
      <c r="G521" s="5"/>
      <c r="H521" s="5">
        <v>1</v>
      </c>
      <c r="I521" s="8">
        <v>45930</v>
      </c>
      <c r="J521" s="8">
        <v>47390</v>
      </c>
      <c r="K521" s="5" t="s">
        <v>120</v>
      </c>
      <c r="L521" s="5" t="s">
        <v>35</v>
      </c>
      <c r="M521" s="5" t="s">
        <v>2074</v>
      </c>
      <c r="N521" s="5" t="s">
        <v>1201</v>
      </c>
      <c r="O521" s="5"/>
      <c r="P521" s="35"/>
      <c r="Q521" s="12"/>
      <c r="R521" s="5"/>
      <c r="S521" s="5"/>
      <c r="T521" s="5"/>
      <c r="U521" s="5"/>
      <c r="V521" s="5"/>
      <c r="W521" s="5"/>
      <c r="X521" s="5"/>
      <c r="Y521" s="5"/>
    </row>
    <row r="522" spans="1:25" ht="13.8">
      <c r="A522" s="26" t="s">
        <v>2075</v>
      </c>
      <c r="B522" s="5" t="s">
        <v>26</v>
      </c>
      <c r="C522" s="5" t="s">
        <v>27</v>
      </c>
      <c r="D522" s="6" t="s">
        <v>388</v>
      </c>
      <c r="E522" s="7" t="s">
        <v>203</v>
      </c>
      <c r="F522" s="5"/>
      <c r="G522" s="5"/>
      <c r="H522" s="5">
        <v>1</v>
      </c>
      <c r="I522" s="8">
        <v>45931</v>
      </c>
      <c r="J522" s="8">
        <v>47391</v>
      </c>
      <c r="K522" s="5" t="s">
        <v>29</v>
      </c>
      <c r="L522" s="5" t="s">
        <v>30</v>
      </c>
      <c r="M522" s="34" t="s">
        <v>2076</v>
      </c>
      <c r="N522" s="5" t="s">
        <v>45</v>
      </c>
      <c r="O522" s="5"/>
      <c r="P522" s="35"/>
      <c r="Q522" s="12"/>
      <c r="R522" s="5"/>
      <c r="S522" s="5"/>
      <c r="T522" s="5"/>
      <c r="U522" s="5"/>
      <c r="V522" s="5"/>
      <c r="W522" s="5"/>
      <c r="X522" s="5"/>
      <c r="Y522" s="5"/>
    </row>
    <row r="523" spans="1:25" ht="15">
      <c r="A523" s="17" t="s">
        <v>2077</v>
      </c>
      <c r="B523" s="5" t="s">
        <v>26</v>
      </c>
      <c r="C523" s="5" t="s">
        <v>27</v>
      </c>
      <c r="D523" s="5">
        <v>122</v>
      </c>
      <c r="E523" s="7" t="s">
        <v>322</v>
      </c>
      <c r="F523" s="5"/>
      <c r="G523" s="5" t="s">
        <v>1662</v>
      </c>
      <c r="H523" s="5">
        <v>2</v>
      </c>
      <c r="I523" s="8">
        <v>45566</v>
      </c>
      <c r="J523" s="9">
        <v>47026</v>
      </c>
      <c r="K523" s="5" t="s">
        <v>29</v>
      </c>
      <c r="L523" s="5" t="s">
        <v>141</v>
      </c>
      <c r="M523" s="5" t="s">
        <v>2078</v>
      </c>
      <c r="N523" s="5" t="s">
        <v>143</v>
      </c>
      <c r="O523" s="5"/>
      <c r="P523" s="44" t="s">
        <v>2079</v>
      </c>
      <c r="Q523" s="12"/>
      <c r="R523" s="5"/>
      <c r="S523" s="5"/>
      <c r="T523" s="5" t="s">
        <v>39</v>
      </c>
      <c r="U523" s="8">
        <v>36033</v>
      </c>
      <c r="V523" s="5"/>
      <c r="W523" s="5"/>
      <c r="X523" s="5"/>
      <c r="Y523" s="5"/>
    </row>
    <row r="524" spans="1:25" ht="13.8">
      <c r="A524" s="17" t="s">
        <v>2080</v>
      </c>
      <c r="B524" s="5" t="s">
        <v>26</v>
      </c>
      <c r="C524" s="5" t="s">
        <v>27</v>
      </c>
      <c r="D524" s="5">
        <v>51</v>
      </c>
      <c r="E524" s="7" t="s">
        <v>192</v>
      </c>
      <c r="F524" s="5" t="s">
        <v>193</v>
      </c>
      <c r="G524" s="5" t="s">
        <v>2081</v>
      </c>
      <c r="H524" s="5">
        <v>4</v>
      </c>
      <c r="I524" s="8">
        <v>44835</v>
      </c>
      <c r="J524" s="8">
        <v>46295</v>
      </c>
      <c r="K524" s="5" t="s">
        <v>29</v>
      </c>
      <c r="L524" s="5" t="s">
        <v>35</v>
      </c>
      <c r="M524" s="28" t="s">
        <v>2082</v>
      </c>
      <c r="N524" s="21" t="s">
        <v>52</v>
      </c>
      <c r="O524" s="5" t="s">
        <v>64</v>
      </c>
      <c r="P524" s="53" t="s">
        <v>2083</v>
      </c>
      <c r="Q524" s="12"/>
      <c r="R524" s="5"/>
      <c r="S524" s="5"/>
      <c r="T524" s="5" t="s">
        <v>39</v>
      </c>
      <c r="U524" s="16">
        <v>32197</v>
      </c>
      <c r="V524" s="5" t="s">
        <v>2084</v>
      </c>
      <c r="W524" s="5" t="s">
        <v>40</v>
      </c>
      <c r="X524" s="6">
        <v>2010</v>
      </c>
      <c r="Y524" s="5" t="s">
        <v>41</v>
      </c>
    </row>
    <row r="525" spans="1:25" ht="13.8">
      <c r="A525" s="17" t="s">
        <v>2085</v>
      </c>
      <c r="B525" s="5" t="s">
        <v>26</v>
      </c>
      <c r="C525" s="5" t="s">
        <v>27</v>
      </c>
      <c r="D525" s="5">
        <v>163</v>
      </c>
      <c r="E525" s="7" t="s">
        <v>90</v>
      </c>
      <c r="F525" s="5"/>
      <c r="G525" s="5" t="s">
        <v>2086</v>
      </c>
      <c r="H525" s="5">
        <v>4</v>
      </c>
      <c r="I525" s="8">
        <v>44835</v>
      </c>
      <c r="J525" s="8">
        <v>46295</v>
      </c>
      <c r="K525" s="5" t="s">
        <v>29</v>
      </c>
      <c r="L525" s="5" t="s">
        <v>35</v>
      </c>
      <c r="M525" s="60" t="s">
        <v>2087</v>
      </c>
      <c r="N525" s="21" t="s">
        <v>52</v>
      </c>
      <c r="O525" s="5" t="s">
        <v>64</v>
      </c>
      <c r="P525" s="53" t="s">
        <v>2088</v>
      </c>
      <c r="Q525" s="12"/>
      <c r="R525" s="5"/>
      <c r="S525" s="5"/>
      <c r="T525" s="5" t="s">
        <v>39</v>
      </c>
      <c r="U525" s="16">
        <v>33069</v>
      </c>
      <c r="V525" s="5" t="s">
        <v>2089</v>
      </c>
      <c r="W525" s="5" t="s">
        <v>40</v>
      </c>
      <c r="X525" s="6">
        <v>2021</v>
      </c>
      <c r="Y525" s="5" t="s">
        <v>94</v>
      </c>
    </row>
    <row r="526" spans="1:25" ht="13.8">
      <c r="A526" s="26" t="s">
        <v>2090</v>
      </c>
      <c r="B526" s="5" t="s">
        <v>26</v>
      </c>
      <c r="C526" s="5" t="s">
        <v>27</v>
      </c>
      <c r="D526" s="29">
        <v>122</v>
      </c>
      <c r="E526" s="30" t="s">
        <v>322</v>
      </c>
      <c r="F526" s="5"/>
      <c r="G526" s="5" t="s">
        <v>668</v>
      </c>
      <c r="H526" s="5">
        <v>2</v>
      </c>
      <c r="I526" s="8">
        <v>45231</v>
      </c>
      <c r="J526" s="36">
        <v>46691</v>
      </c>
      <c r="K526" s="5" t="s">
        <v>29</v>
      </c>
      <c r="L526" s="5" t="s">
        <v>35</v>
      </c>
      <c r="M526" s="13" t="s">
        <v>2091</v>
      </c>
      <c r="N526" s="37" t="s">
        <v>128</v>
      </c>
      <c r="O526" s="5"/>
      <c r="P526" s="5" t="s">
        <v>2092</v>
      </c>
      <c r="Q526" s="12"/>
      <c r="R526" s="5"/>
      <c r="S526" s="5"/>
      <c r="T526" s="31" t="s">
        <v>39</v>
      </c>
      <c r="U526" s="33">
        <v>35162</v>
      </c>
      <c r="V526" s="5"/>
      <c r="W526" s="5"/>
      <c r="X526" s="5"/>
      <c r="Y526" s="5"/>
    </row>
    <row r="527" spans="1:25" ht="15">
      <c r="A527" s="17" t="s">
        <v>2093</v>
      </c>
      <c r="B527" s="5" t="s">
        <v>26</v>
      </c>
      <c r="C527" s="5" t="s">
        <v>27</v>
      </c>
      <c r="D527" s="5">
        <v>171</v>
      </c>
      <c r="E527" s="7" t="s">
        <v>115</v>
      </c>
      <c r="F527" s="5"/>
      <c r="G527" s="5" t="s">
        <v>736</v>
      </c>
      <c r="H527" s="5">
        <v>2</v>
      </c>
      <c r="I527" s="8">
        <v>45566</v>
      </c>
      <c r="J527" s="9">
        <v>47026</v>
      </c>
      <c r="K527" s="5" t="s">
        <v>29</v>
      </c>
      <c r="L527" s="5" t="s">
        <v>141</v>
      </c>
      <c r="M527" s="5" t="s">
        <v>2094</v>
      </c>
      <c r="N527" s="5" t="s">
        <v>143</v>
      </c>
      <c r="O527" s="5"/>
      <c r="P527" s="44" t="s">
        <v>2095</v>
      </c>
      <c r="Q527" s="12"/>
      <c r="R527" s="5"/>
      <c r="S527" s="5"/>
      <c r="T527" s="5" t="s">
        <v>39</v>
      </c>
      <c r="U527" s="36">
        <v>36091</v>
      </c>
      <c r="V527" s="5"/>
      <c r="W527" s="5"/>
      <c r="X527" s="5"/>
      <c r="Y527" s="5" t="s">
        <v>160</v>
      </c>
    </row>
    <row r="528" spans="1:25" ht="13.8">
      <c r="A528" s="26" t="s">
        <v>2096</v>
      </c>
      <c r="B528" s="5" t="s">
        <v>26</v>
      </c>
      <c r="C528" s="5" t="s">
        <v>27</v>
      </c>
      <c r="D528" s="5">
        <v>122</v>
      </c>
      <c r="E528" s="30" t="s">
        <v>124</v>
      </c>
      <c r="F528" s="5" t="s">
        <v>1410</v>
      </c>
      <c r="G528" s="5" t="s">
        <v>817</v>
      </c>
      <c r="H528" s="5">
        <v>3</v>
      </c>
      <c r="I528" s="8">
        <v>45047</v>
      </c>
      <c r="J528" s="8">
        <v>46507</v>
      </c>
      <c r="K528" s="5" t="s">
        <v>29</v>
      </c>
      <c r="L528" s="5" t="s">
        <v>35</v>
      </c>
      <c r="M528" s="53" t="s">
        <v>2097</v>
      </c>
      <c r="N528" s="12" t="s">
        <v>37</v>
      </c>
      <c r="O528" s="5"/>
      <c r="P528" s="74" t="s">
        <v>2098</v>
      </c>
      <c r="Q528" s="12"/>
      <c r="R528" s="5"/>
      <c r="S528" s="5"/>
      <c r="T528" s="5" t="s">
        <v>39</v>
      </c>
      <c r="U528" s="16">
        <v>36666</v>
      </c>
      <c r="V528" s="5">
        <v>380984107212</v>
      </c>
      <c r="W528" s="5" t="s">
        <v>40</v>
      </c>
      <c r="X528" s="6">
        <v>2022</v>
      </c>
      <c r="Y528" s="5" t="s">
        <v>266</v>
      </c>
    </row>
    <row r="529" spans="1:25" ht="13.8">
      <c r="A529" s="26" t="s">
        <v>2099</v>
      </c>
      <c r="B529" s="5" t="s">
        <v>26</v>
      </c>
      <c r="C529" s="5" t="s">
        <v>27</v>
      </c>
      <c r="D529" s="6" t="s">
        <v>283</v>
      </c>
      <c r="E529" s="7" t="s">
        <v>138</v>
      </c>
      <c r="F529" s="5"/>
      <c r="G529" s="5"/>
      <c r="H529" s="5">
        <v>1</v>
      </c>
      <c r="I529" s="8">
        <v>45931</v>
      </c>
      <c r="J529" s="8">
        <v>47391</v>
      </c>
      <c r="K529" s="5" t="s">
        <v>29</v>
      </c>
      <c r="L529" s="5" t="s">
        <v>30</v>
      </c>
      <c r="M529" s="34" t="s">
        <v>2100</v>
      </c>
      <c r="N529" s="5" t="s">
        <v>45</v>
      </c>
      <c r="O529" s="5"/>
      <c r="P529" s="35"/>
      <c r="Q529" s="12"/>
      <c r="R529" s="5"/>
      <c r="S529" s="5"/>
      <c r="T529" s="5"/>
      <c r="U529" s="5"/>
      <c r="V529" s="5"/>
      <c r="W529" s="5"/>
      <c r="X529" s="5"/>
      <c r="Y529" s="5"/>
    </row>
    <row r="530" spans="1:25" ht="15">
      <c r="A530" s="17" t="s">
        <v>2101</v>
      </c>
      <c r="B530" s="5" t="s">
        <v>26</v>
      </c>
      <c r="C530" s="5" t="s">
        <v>27</v>
      </c>
      <c r="D530" s="5">
        <v>172</v>
      </c>
      <c r="E530" s="7" t="s">
        <v>278</v>
      </c>
      <c r="F530" s="5"/>
      <c r="G530" s="5" t="s">
        <v>279</v>
      </c>
      <c r="H530" s="5">
        <v>2</v>
      </c>
      <c r="I530" s="8">
        <v>45566</v>
      </c>
      <c r="J530" s="9">
        <v>47026</v>
      </c>
      <c r="K530" s="5" t="s">
        <v>29</v>
      </c>
      <c r="L530" s="5" t="s">
        <v>141</v>
      </c>
      <c r="M530" s="5" t="s">
        <v>2102</v>
      </c>
      <c r="N530" s="5" t="s">
        <v>143</v>
      </c>
      <c r="O530" s="5"/>
      <c r="P530" s="44" t="s">
        <v>2103</v>
      </c>
      <c r="Q530" s="12"/>
      <c r="R530" s="5"/>
      <c r="S530" s="5"/>
      <c r="T530" s="5" t="s">
        <v>39</v>
      </c>
      <c r="U530" s="36">
        <v>32861</v>
      </c>
      <c r="V530" s="5"/>
      <c r="W530" s="5"/>
      <c r="X530" s="5"/>
      <c r="Y530" s="5" t="s">
        <v>266</v>
      </c>
    </row>
    <row r="531" spans="1:25" ht="13.8">
      <c r="A531" s="26" t="s">
        <v>2104</v>
      </c>
      <c r="B531" s="5" t="s">
        <v>26</v>
      </c>
      <c r="C531" s="5" t="s">
        <v>27</v>
      </c>
      <c r="D531" s="5">
        <v>121</v>
      </c>
      <c r="E531" s="7" t="s">
        <v>77</v>
      </c>
      <c r="F531" s="5"/>
      <c r="G531" s="5" t="s">
        <v>307</v>
      </c>
      <c r="H531" s="5">
        <v>3</v>
      </c>
      <c r="I531" s="8">
        <v>45078</v>
      </c>
      <c r="J531" s="8">
        <v>46538</v>
      </c>
      <c r="K531" s="5" t="s">
        <v>29</v>
      </c>
      <c r="L531" s="5" t="s">
        <v>35</v>
      </c>
      <c r="M531" s="53" t="s">
        <v>2105</v>
      </c>
      <c r="N531" s="97" t="s">
        <v>1883</v>
      </c>
      <c r="O531" s="5"/>
      <c r="P531" s="53"/>
      <c r="Q531" s="12"/>
      <c r="R531" s="5"/>
      <c r="S531" s="5"/>
      <c r="T531" s="5" t="s">
        <v>39</v>
      </c>
      <c r="U531" s="16">
        <v>35247</v>
      </c>
      <c r="V531" s="5">
        <f>380689073538</f>
        <v>380689073538</v>
      </c>
      <c r="W531" s="5" t="s">
        <v>40</v>
      </c>
      <c r="X531" s="6">
        <v>2019</v>
      </c>
      <c r="Y531" s="5" t="s">
        <v>94</v>
      </c>
    </row>
    <row r="532" spans="1:25" ht="13.8">
      <c r="A532" s="17" t="s">
        <v>2106</v>
      </c>
      <c r="B532" s="5" t="s">
        <v>47</v>
      </c>
      <c r="C532" s="5" t="s">
        <v>27</v>
      </c>
      <c r="D532" s="5">
        <v>51</v>
      </c>
      <c r="E532" s="7" t="s">
        <v>192</v>
      </c>
      <c r="F532" s="5" t="s">
        <v>193</v>
      </c>
      <c r="G532" s="5" t="s">
        <v>194</v>
      </c>
      <c r="H532" s="5"/>
      <c r="I532" s="48">
        <v>44470</v>
      </c>
      <c r="J532" s="48">
        <v>45747</v>
      </c>
      <c r="K532" s="5" t="s">
        <v>29</v>
      </c>
      <c r="L532" s="5" t="s">
        <v>30</v>
      </c>
      <c r="M532" s="28" t="s">
        <v>2107</v>
      </c>
      <c r="N532" s="12" t="s">
        <v>270</v>
      </c>
      <c r="O532" s="5" t="s">
        <v>271</v>
      </c>
      <c r="P532" s="53" t="s">
        <v>2108</v>
      </c>
      <c r="Q532" s="12" t="s">
        <v>1279</v>
      </c>
      <c r="R532" s="5"/>
      <c r="S532" s="5" t="s">
        <v>2109</v>
      </c>
      <c r="T532" s="5" t="s">
        <v>39</v>
      </c>
      <c r="U532" s="48">
        <v>35874</v>
      </c>
      <c r="V532" s="5" t="s">
        <v>2110</v>
      </c>
      <c r="W532" s="5" t="s">
        <v>40</v>
      </c>
      <c r="X532" s="5">
        <v>2020</v>
      </c>
      <c r="Y532" s="5"/>
    </row>
    <row r="533" spans="1:25" ht="13.8">
      <c r="A533" s="26" t="s">
        <v>2111</v>
      </c>
      <c r="B533" s="5" t="s">
        <v>26</v>
      </c>
      <c r="C533" s="5" t="s">
        <v>27</v>
      </c>
      <c r="D533" s="6" t="s">
        <v>43</v>
      </c>
      <c r="E533" s="7"/>
      <c r="F533" s="5"/>
      <c r="G533" s="5"/>
      <c r="H533" s="5">
        <v>1</v>
      </c>
      <c r="I533" s="8">
        <v>45931</v>
      </c>
      <c r="J533" s="8">
        <v>47391</v>
      </c>
      <c r="K533" s="5" t="s">
        <v>29</v>
      </c>
      <c r="L533" s="5" t="s">
        <v>30</v>
      </c>
      <c r="M533" s="34" t="s">
        <v>2112</v>
      </c>
      <c r="N533" s="5" t="s">
        <v>45</v>
      </c>
      <c r="O533" s="5"/>
      <c r="P533" s="35"/>
      <c r="Q533" s="12"/>
      <c r="R533" s="5"/>
      <c r="S533" s="5"/>
      <c r="T533" s="5"/>
      <c r="U533" s="5"/>
      <c r="V533" s="5"/>
      <c r="W533" s="5"/>
      <c r="X533" s="5"/>
      <c r="Y533" s="5"/>
    </row>
    <row r="534" spans="1:25" ht="13.8">
      <c r="A534" s="26" t="s">
        <v>2113</v>
      </c>
      <c r="B534" s="5" t="s">
        <v>26</v>
      </c>
      <c r="C534" s="5" t="s">
        <v>27</v>
      </c>
      <c r="D534" s="29">
        <v>172</v>
      </c>
      <c r="E534" s="30" t="s">
        <v>278</v>
      </c>
      <c r="F534" s="5"/>
      <c r="G534" s="13" t="s">
        <v>847</v>
      </c>
      <c r="H534" s="5">
        <v>3</v>
      </c>
      <c r="I534" s="8">
        <v>45200</v>
      </c>
      <c r="J534" s="8">
        <v>46660</v>
      </c>
      <c r="K534" s="5" t="s">
        <v>29</v>
      </c>
      <c r="L534" s="5" t="s">
        <v>50</v>
      </c>
      <c r="M534" s="13" t="s">
        <v>2114</v>
      </c>
      <c r="N534" s="5" t="s">
        <v>85</v>
      </c>
      <c r="O534" s="5"/>
      <c r="P534" s="5" t="s">
        <v>2115</v>
      </c>
      <c r="Q534" s="12"/>
      <c r="R534" s="5"/>
      <c r="S534" s="5"/>
      <c r="T534" s="31" t="s">
        <v>39</v>
      </c>
      <c r="U534" s="33">
        <v>32220</v>
      </c>
      <c r="V534" s="5"/>
      <c r="W534" s="5"/>
      <c r="X534" s="5"/>
      <c r="Y534" s="5" t="s">
        <v>266</v>
      </c>
    </row>
    <row r="535" spans="1:25" ht="13.8">
      <c r="A535" s="26" t="s">
        <v>2116</v>
      </c>
      <c r="B535" s="5" t="s">
        <v>26</v>
      </c>
      <c r="C535" s="5" t="s">
        <v>27</v>
      </c>
      <c r="D535" s="29">
        <v>122</v>
      </c>
      <c r="E535" s="30" t="s">
        <v>33</v>
      </c>
      <c r="F535" s="5"/>
      <c r="G535" s="13" t="s">
        <v>2117</v>
      </c>
      <c r="H535" s="5">
        <v>3</v>
      </c>
      <c r="I535" s="8">
        <v>45200</v>
      </c>
      <c r="J535" s="8">
        <v>46660</v>
      </c>
      <c r="K535" s="5" t="s">
        <v>29</v>
      </c>
      <c r="L535" s="5" t="s">
        <v>35</v>
      </c>
      <c r="M535" s="13" t="s">
        <v>2118</v>
      </c>
      <c r="N535" s="5" t="s">
        <v>85</v>
      </c>
      <c r="O535" s="5"/>
      <c r="P535" s="5" t="s">
        <v>2119</v>
      </c>
      <c r="Q535" s="12"/>
      <c r="R535" s="5"/>
      <c r="S535" s="5"/>
      <c r="T535" s="31" t="s">
        <v>39</v>
      </c>
      <c r="U535" s="33">
        <v>36659</v>
      </c>
      <c r="V535" s="5"/>
      <c r="W535" s="5"/>
      <c r="X535" s="5"/>
      <c r="Y535" s="5" t="s">
        <v>41</v>
      </c>
    </row>
    <row r="536" spans="1:25" ht="13.8">
      <c r="A536" s="17" t="s">
        <v>2120</v>
      </c>
      <c r="B536" s="5" t="s">
        <v>26</v>
      </c>
      <c r="C536" s="5" t="s">
        <v>27</v>
      </c>
      <c r="D536" s="5">
        <v>126</v>
      </c>
      <c r="E536" s="7" t="s">
        <v>80</v>
      </c>
      <c r="F536" s="5" t="s">
        <v>81</v>
      </c>
      <c r="G536" s="5" t="s">
        <v>336</v>
      </c>
      <c r="H536" s="5">
        <v>3</v>
      </c>
      <c r="I536" s="8">
        <v>43891</v>
      </c>
      <c r="J536" s="8">
        <v>46445</v>
      </c>
      <c r="K536" s="5" t="s">
        <v>29</v>
      </c>
      <c r="L536" s="5" t="s">
        <v>35</v>
      </c>
      <c r="M536" s="13" t="s">
        <v>2121</v>
      </c>
      <c r="N536" s="5" t="s">
        <v>652</v>
      </c>
      <c r="O536" s="5"/>
      <c r="P536" s="53"/>
      <c r="Q536" s="12"/>
      <c r="R536" s="5"/>
      <c r="S536" s="5" t="s">
        <v>2122</v>
      </c>
      <c r="T536" s="5" t="s">
        <v>39</v>
      </c>
      <c r="U536" s="8">
        <v>34509</v>
      </c>
      <c r="V536" s="5"/>
      <c r="W536" s="5"/>
      <c r="X536" s="5"/>
      <c r="Y536" s="5" t="s">
        <v>88</v>
      </c>
    </row>
    <row r="537" spans="1:25" ht="13.8">
      <c r="A537" s="26" t="s">
        <v>2123</v>
      </c>
      <c r="B537" s="61" t="s">
        <v>26</v>
      </c>
      <c r="C537" s="5" t="s">
        <v>27</v>
      </c>
      <c r="D537" s="61">
        <v>122</v>
      </c>
      <c r="E537" s="30" t="s">
        <v>124</v>
      </c>
      <c r="F537" s="5" t="s">
        <v>1410</v>
      </c>
      <c r="G537" s="61" t="s">
        <v>1678</v>
      </c>
      <c r="H537" s="61">
        <v>3</v>
      </c>
      <c r="I537" s="9">
        <v>45047</v>
      </c>
      <c r="J537" s="9">
        <v>46507</v>
      </c>
      <c r="K537" s="5" t="s">
        <v>29</v>
      </c>
      <c r="L537" s="5" t="s">
        <v>35</v>
      </c>
      <c r="M537" s="53" t="s">
        <v>2124</v>
      </c>
      <c r="N537" s="12" t="s">
        <v>37</v>
      </c>
      <c r="O537" s="5"/>
      <c r="P537" s="72" t="s">
        <v>2125</v>
      </c>
      <c r="Q537" s="12"/>
      <c r="R537" s="5"/>
      <c r="S537" s="5"/>
      <c r="T537" s="5" t="s">
        <v>39</v>
      </c>
      <c r="U537" s="16">
        <v>36254</v>
      </c>
      <c r="V537" s="5">
        <f>380957898950</f>
        <v>380957898950</v>
      </c>
      <c r="W537" s="5" t="s">
        <v>40</v>
      </c>
      <c r="X537" s="6">
        <v>2022</v>
      </c>
      <c r="Y537" s="5" t="s">
        <v>266</v>
      </c>
    </row>
    <row r="538" spans="1:25" ht="13.8">
      <c r="A538" s="17" t="s">
        <v>2126</v>
      </c>
      <c r="B538" s="5" t="s">
        <v>26</v>
      </c>
      <c r="C538" s="5" t="s">
        <v>27</v>
      </c>
      <c r="D538" s="5">
        <v>123</v>
      </c>
      <c r="E538" s="7" t="s">
        <v>108</v>
      </c>
      <c r="F538" s="5" t="s">
        <v>250</v>
      </c>
      <c r="G538" s="13" t="s">
        <v>1334</v>
      </c>
      <c r="H538" s="5">
        <v>4</v>
      </c>
      <c r="I538" s="8">
        <v>44835</v>
      </c>
      <c r="J538" s="8">
        <v>46295</v>
      </c>
      <c r="K538" s="5" t="s">
        <v>29</v>
      </c>
      <c r="L538" s="5" t="s">
        <v>35</v>
      </c>
      <c r="M538" s="60" t="s">
        <v>2127</v>
      </c>
      <c r="N538" s="21" t="s">
        <v>52</v>
      </c>
      <c r="O538" s="5" t="s">
        <v>64</v>
      </c>
      <c r="P538" s="53" t="s">
        <v>2128</v>
      </c>
      <c r="Q538" s="12"/>
      <c r="R538" s="5"/>
      <c r="S538" s="5"/>
      <c r="T538" s="5" t="s">
        <v>39</v>
      </c>
      <c r="U538" s="16">
        <v>36153</v>
      </c>
      <c r="V538" s="5" t="s">
        <v>2129</v>
      </c>
      <c r="W538" s="5" t="s">
        <v>40</v>
      </c>
      <c r="X538" s="6">
        <v>2021</v>
      </c>
      <c r="Y538" s="5" t="s">
        <v>112</v>
      </c>
    </row>
    <row r="539" spans="1:25" ht="13.8">
      <c r="A539" s="26" t="s">
        <v>2130</v>
      </c>
      <c r="B539" s="5" t="s">
        <v>26</v>
      </c>
      <c r="C539" s="5" t="s">
        <v>27</v>
      </c>
      <c r="D539" s="6" t="s">
        <v>554</v>
      </c>
      <c r="E539" s="7" t="s">
        <v>1593</v>
      </c>
      <c r="F539" s="5"/>
      <c r="G539" s="5"/>
      <c r="H539" s="5">
        <v>1</v>
      </c>
      <c r="I539" s="8">
        <v>45931</v>
      </c>
      <c r="J539" s="8">
        <v>47391</v>
      </c>
      <c r="K539" s="5" t="s">
        <v>29</v>
      </c>
      <c r="L539" s="5" t="s">
        <v>30</v>
      </c>
      <c r="M539" s="34" t="s">
        <v>2131</v>
      </c>
      <c r="N539" s="5" t="s">
        <v>45</v>
      </c>
      <c r="O539" s="5"/>
      <c r="P539" s="35"/>
      <c r="Q539" s="12"/>
      <c r="R539" s="5"/>
      <c r="S539" s="5"/>
      <c r="T539" s="5"/>
      <c r="U539" s="5"/>
      <c r="V539" s="5"/>
      <c r="W539" s="5"/>
      <c r="X539" s="5"/>
      <c r="Y539" s="5"/>
    </row>
    <row r="540" spans="1:25" ht="13.8">
      <c r="A540" s="17" t="s">
        <v>2132</v>
      </c>
      <c r="B540" s="5" t="s">
        <v>26</v>
      </c>
      <c r="C540" s="5" t="s">
        <v>27</v>
      </c>
      <c r="D540" s="5">
        <v>113</v>
      </c>
      <c r="E540" s="7" t="s">
        <v>203</v>
      </c>
      <c r="F540" s="5"/>
      <c r="G540" s="5" t="s">
        <v>499</v>
      </c>
      <c r="H540" s="5">
        <v>4</v>
      </c>
      <c r="I540" s="8">
        <v>44835</v>
      </c>
      <c r="J540" s="8">
        <v>46295</v>
      </c>
      <c r="K540" s="5" t="s">
        <v>29</v>
      </c>
      <c r="L540" s="5" t="s">
        <v>50</v>
      </c>
      <c r="M540" s="28" t="s">
        <v>2133</v>
      </c>
      <c r="N540" s="21" t="s">
        <v>52</v>
      </c>
      <c r="O540" s="5" t="s">
        <v>64</v>
      </c>
      <c r="P540" s="53" t="s">
        <v>2134</v>
      </c>
      <c r="Q540" s="12"/>
      <c r="R540" s="5"/>
      <c r="S540" s="5"/>
      <c r="T540" s="5" t="s">
        <v>39</v>
      </c>
      <c r="U540" s="16">
        <v>33806</v>
      </c>
      <c r="V540" s="5" t="s">
        <v>2135</v>
      </c>
      <c r="W540" s="5" t="s">
        <v>40</v>
      </c>
      <c r="X540" s="6">
        <v>2014</v>
      </c>
      <c r="Y540" s="5" t="s">
        <v>41</v>
      </c>
    </row>
    <row r="541" spans="1:25" ht="15">
      <c r="A541" s="17" t="s">
        <v>2136</v>
      </c>
      <c r="B541" s="5" t="s">
        <v>26</v>
      </c>
      <c r="C541" s="5" t="s">
        <v>27</v>
      </c>
      <c r="D541" s="5">
        <v>172</v>
      </c>
      <c r="E541" s="7" t="s">
        <v>131</v>
      </c>
      <c r="F541" s="5" t="s">
        <v>238</v>
      </c>
      <c r="G541" s="5" t="s">
        <v>2137</v>
      </c>
      <c r="H541" s="5">
        <v>2</v>
      </c>
      <c r="I541" s="8">
        <v>45566</v>
      </c>
      <c r="J541" s="9">
        <v>47026</v>
      </c>
      <c r="K541" s="5" t="s">
        <v>29</v>
      </c>
      <c r="L541" s="5" t="s">
        <v>141</v>
      </c>
      <c r="M541" s="66" t="s">
        <v>2138</v>
      </c>
      <c r="N541" s="5" t="s">
        <v>143</v>
      </c>
      <c r="O541" s="5"/>
      <c r="P541" s="44" t="s">
        <v>2139</v>
      </c>
      <c r="Q541" s="12"/>
      <c r="R541" s="5"/>
      <c r="S541" s="5"/>
      <c r="T541" s="5" t="s">
        <v>39</v>
      </c>
      <c r="U541" s="36">
        <v>35745</v>
      </c>
      <c r="V541" s="5"/>
      <c r="W541" s="5"/>
      <c r="X541" s="5"/>
      <c r="Y541" s="5" t="s">
        <v>136</v>
      </c>
    </row>
    <row r="542" spans="1:25" ht="15">
      <c r="A542" s="17" t="s">
        <v>2140</v>
      </c>
      <c r="B542" s="5" t="s">
        <v>26</v>
      </c>
      <c r="C542" s="5" t="s">
        <v>27</v>
      </c>
      <c r="D542" s="5">
        <v>123</v>
      </c>
      <c r="E542" s="7" t="s">
        <v>80</v>
      </c>
      <c r="F542" s="5" t="s">
        <v>81</v>
      </c>
      <c r="G542" s="5" t="s">
        <v>2141</v>
      </c>
      <c r="H542" s="5">
        <v>2</v>
      </c>
      <c r="I542" s="8">
        <v>45566</v>
      </c>
      <c r="J542" s="9">
        <v>47026</v>
      </c>
      <c r="K542" s="5" t="s">
        <v>29</v>
      </c>
      <c r="L542" s="5" t="s">
        <v>141</v>
      </c>
      <c r="M542" s="5" t="s">
        <v>2142</v>
      </c>
      <c r="N542" s="5" t="s">
        <v>143</v>
      </c>
      <c r="O542" s="5"/>
      <c r="P542" s="44" t="s">
        <v>2143</v>
      </c>
      <c r="Q542" s="12"/>
      <c r="R542" s="5"/>
      <c r="S542" s="5"/>
      <c r="T542" s="5" t="s">
        <v>39</v>
      </c>
      <c r="U542" s="8">
        <v>27961</v>
      </c>
      <c r="V542" s="5"/>
      <c r="W542" s="5"/>
      <c r="X542" s="5"/>
      <c r="Y542" s="5" t="s">
        <v>88</v>
      </c>
    </row>
    <row r="543" spans="1:25" ht="13.8">
      <c r="A543" s="26" t="s">
        <v>2144</v>
      </c>
      <c r="B543" s="5" t="s">
        <v>26</v>
      </c>
      <c r="C543" s="5" t="s">
        <v>27</v>
      </c>
      <c r="D543" s="29">
        <v>174</v>
      </c>
      <c r="E543" s="30" t="s">
        <v>138</v>
      </c>
      <c r="F543" s="5" t="s">
        <v>139</v>
      </c>
      <c r="G543" s="13" t="s">
        <v>258</v>
      </c>
      <c r="H543" s="5">
        <v>3</v>
      </c>
      <c r="I543" s="8">
        <v>45200</v>
      </c>
      <c r="J543" s="8">
        <v>46660</v>
      </c>
      <c r="K543" s="5" t="s">
        <v>29</v>
      </c>
      <c r="L543" s="5" t="s">
        <v>35</v>
      </c>
      <c r="M543" s="60" t="s">
        <v>2145</v>
      </c>
      <c r="N543" s="5" t="s">
        <v>85</v>
      </c>
      <c r="O543" s="5"/>
      <c r="P543" s="5" t="s">
        <v>2146</v>
      </c>
      <c r="Q543" s="12"/>
      <c r="R543" s="5"/>
      <c r="S543" s="5"/>
      <c r="T543" s="31" t="s">
        <v>39</v>
      </c>
      <c r="U543" s="33">
        <v>24001</v>
      </c>
      <c r="V543" s="5"/>
      <c r="W543" s="5"/>
      <c r="X543" s="5"/>
      <c r="Y543" s="5"/>
    </row>
    <row r="544" spans="1:25" ht="15">
      <c r="A544" s="17" t="s">
        <v>2147</v>
      </c>
      <c r="B544" s="5" t="s">
        <v>26</v>
      </c>
      <c r="C544" s="5" t="s">
        <v>27</v>
      </c>
      <c r="D544" s="5">
        <v>122</v>
      </c>
      <c r="E544" s="7" t="s">
        <v>28</v>
      </c>
      <c r="F544" s="5"/>
      <c r="G544" s="5" t="s">
        <v>2148</v>
      </c>
      <c r="H544" s="5">
        <v>2</v>
      </c>
      <c r="I544" s="8">
        <v>45566</v>
      </c>
      <c r="J544" s="9">
        <v>47026</v>
      </c>
      <c r="K544" s="5" t="s">
        <v>29</v>
      </c>
      <c r="L544" s="5" t="s">
        <v>141</v>
      </c>
      <c r="M544" s="5" t="s">
        <v>2149</v>
      </c>
      <c r="N544" s="5" t="s">
        <v>143</v>
      </c>
      <c r="O544" s="5"/>
      <c r="P544" s="44" t="s">
        <v>2150</v>
      </c>
      <c r="Q544" s="12"/>
      <c r="R544" s="5"/>
      <c r="S544" s="5"/>
      <c r="T544" s="5" t="s">
        <v>39</v>
      </c>
      <c r="U544" s="8">
        <v>33074</v>
      </c>
      <c r="V544" s="5"/>
      <c r="W544" s="5"/>
      <c r="X544" s="5"/>
      <c r="Y544" s="5" t="s">
        <v>31</v>
      </c>
    </row>
    <row r="545" spans="1:25" ht="15">
      <c r="A545" s="17" t="s">
        <v>2151</v>
      </c>
      <c r="B545" s="5" t="s">
        <v>26</v>
      </c>
      <c r="C545" s="5" t="s">
        <v>118</v>
      </c>
      <c r="D545" s="6" t="s">
        <v>76</v>
      </c>
      <c r="E545" s="7" t="s">
        <v>77</v>
      </c>
      <c r="F545" s="5"/>
      <c r="G545" s="5"/>
      <c r="H545" s="5">
        <v>1</v>
      </c>
      <c r="I545" s="8">
        <v>45930</v>
      </c>
      <c r="J545" s="8">
        <v>47390</v>
      </c>
      <c r="K545" s="5" t="s">
        <v>120</v>
      </c>
      <c r="L545" s="5" t="s">
        <v>35</v>
      </c>
      <c r="M545" s="5" t="s">
        <v>2152</v>
      </c>
      <c r="N545" s="5" t="s">
        <v>1201</v>
      </c>
      <c r="O545" s="5"/>
      <c r="P545" s="44"/>
      <c r="Q545" s="12"/>
      <c r="R545" s="5"/>
      <c r="S545" s="5" t="s">
        <v>1081</v>
      </c>
      <c r="T545" s="5" t="s">
        <v>39</v>
      </c>
      <c r="U545" s="8">
        <v>36650</v>
      </c>
      <c r="V545" s="5"/>
      <c r="W545" s="5"/>
      <c r="X545" s="5"/>
      <c r="Y545" s="5"/>
    </row>
    <row r="546" spans="1:25" ht="13.8">
      <c r="A546" s="26" t="s">
        <v>2153</v>
      </c>
      <c r="B546" s="5" t="s">
        <v>26</v>
      </c>
      <c r="C546" s="5" t="s">
        <v>27</v>
      </c>
      <c r="D546" s="29">
        <v>124</v>
      </c>
      <c r="E546" s="30" t="s">
        <v>203</v>
      </c>
      <c r="F546" s="5"/>
      <c r="G546" s="13" t="s">
        <v>2154</v>
      </c>
      <c r="H546" s="5">
        <v>3</v>
      </c>
      <c r="I546" s="8">
        <v>45200</v>
      </c>
      <c r="J546" s="8">
        <v>46660</v>
      </c>
      <c r="K546" s="5" t="s">
        <v>29</v>
      </c>
      <c r="L546" s="5" t="s">
        <v>35</v>
      </c>
      <c r="M546" s="60" t="s">
        <v>2155</v>
      </c>
      <c r="N546" s="5" t="s">
        <v>85</v>
      </c>
      <c r="O546" s="5"/>
      <c r="P546" s="5" t="s">
        <v>2156</v>
      </c>
      <c r="Q546" s="12"/>
      <c r="R546" s="5"/>
      <c r="S546" s="5"/>
      <c r="T546" s="31" t="s">
        <v>39</v>
      </c>
      <c r="U546" s="33">
        <v>33459</v>
      </c>
      <c r="V546" s="5"/>
      <c r="W546" s="5"/>
      <c r="X546" s="5"/>
      <c r="Y546" s="5" t="s">
        <v>41</v>
      </c>
    </row>
    <row r="547" spans="1:25" ht="15">
      <c r="A547" s="26" t="s">
        <v>2157</v>
      </c>
      <c r="B547" s="5" t="s">
        <v>26</v>
      </c>
      <c r="C547" s="5" t="s">
        <v>27</v>
      </c>
      <c r="D547" s="6" t="s">
        <v>114</v>
      </c>
      <c r="E547" s="7" t="s">
        <v>131</v>
      </c>
      <c r="F547" s="5"/>
      <c r="G547" s="5"/>
      <c r="H547" s="5">
        <v>1</v>
      </c>
      <c r="I547" s="8">
        <v>45931</v>
      </c>
      <c r="J547" s="8">
        <v>47391</v>
      </c>
      <c r="K547" s="5" t="s">
        <v>29</v>
      </c>
      <c r="L547" s="5" t="s">
        <v>30</v>
      </c>
      <c r="M547" s="34" t="s">
        <v>2158</v>
      </c>
      <c r="N547" s="5" t="s">
        <v>45</v>
      </c>
      <c r="O547" s="5"/>
      <c r="P547" s="44"/>
      <c r="Q547" s="12"/>
      <c r="R547" s="5"/>
      <c r="S547" s="5" t="s">
        <v>2159</v>
      </c>
      <c r="T547" s="5" t="s">
        <v>39</v>
      </c>
      <c r="U547" s="8">
        <v>37056</v>
      </c>
      <c r="V547" s="5"/>
      <c r="W547" s="5"/>
      <c r="X547" s="5"/>
      <c r="Y547" s="5"/>
    </row>
    <row r="548" spans="1:25" ht="13.8">
      <c r="A548" s="26" t="s">
        <v>2160</v>
      </c>
      <c r="B548" s="5" t="s">
        <v>26</v>
      </c>
      <c r="C548" s="5" t="s">
        <v>27</v>
      </c>
      <c r="D548" s="6" t="s">
        <v>554</v>
      </c>
      <c r="E548" s="7"/>
      <c r="F548" s="5"/>
      <c r="G548" s="5"/>
      <c r="H548" s="5">
        <v>1</v>
      </c>
      <c r="I548" s="8">
        <v>45931</v>
      </c>
      <c r="J548" s="8">
        <v>47391</v>
      </c>
      <c r="K548" s="5" t="s">
        <v>29</v>
      </c>
      <c r="L548" s="5" t="s">
        <v>30</v>
      </c>
      <c r="M548" s="34" t="s">
        <v>2161</v>
      </c>
      <c r="N548" s="5" t="s">
        <v>45</v>
      </c>
      <c r="O548" s="5"/>
      <c r="P548" s="35"/>
      <c r="Q548" s="12"/>
      <c r="R548" s="5"/>
      <c r="S548" s="5" t="s">
        <v>72</v>
      </c>
      <c r="T548" s="5" t="s">
        <v>57</v>
      </c>
      <c r="U548" s="8">
        <v>34550</v>
      </c>
      <c r="V548" s="5"/>
      <c r="W548" s="5"/>
      <c r="X548" s="5"/>
      <c r="Y548" s="5"/>
    </row>
    <row r="549" spans="1:25" ht="13.8">
      <c r="A549" s="17" t="s">
        <v>2162</v>
      </c>
      <c r="B549" s="5" t="s">
        <v>26</v>
      </c>
      <c r="C549" s="5" t="s">
        <v>27</v>
      </c>
      <c r="D549" s="5">
        <v>126</v>
      </c>
      <c r="E549" s="7" t="s">
        <v>80</v>
      </c>
      <c r="F549" s="5" t="s">
        <v>81</v>
      </c>
      <c r="G549" s="5" t="s">
        <v>1152</v>
      </c>
      <c r="H549" s="5">
        <v>4</v>
      </c>
      <c r="I549" s="8">
        <v>44835</v>
      </c>
      <c r="J549" s="8">
        <v>46295</v>
      </c>
      <c r="K549" s="5" t="s">
        <v>29</v>
      </c>
      <c r="L549" s="5" t="s">
        <v>35</v>
      </c>
      <c r="M549" s="60" t="s">
        <v>2163</v>
      </c>
      <c r="N549" s="21" t="s">
        <v>52</v>
      </c>
      <c r="O549" s="5" t="s">
        <v>64</v>
      </c>
      <c r="P549" s="53" t="s">
        <v>2164</v>
      </c>
      <c r="Q549" s="12"/>
      <c r="R549" s="5"/>
      <c r="S549" s="5"/>
      <c r="T549" s="5" t="s">
        <v>39</v>
      </c>
      <c r="U549" s="16">
        <v>34929</v>
      </c>
      <c r="V549" s="5" t="s">
        <v>2165</v>
      </c>
      <c r="W549" s="5" t="s">
        <v>40</v>
      </c>
      <c r="X549" s="6">
        <v>2020</v>
      </c>
      <c r="Y549" s="5" t="s">
        <v>88</v>
      </c>
    </row>
    <row r="550" spans="1:25" ht="15">
      <c r="A550" s="17" t="s">
        <v>2166</v>
      </c>
      <c r="B550" s="5" t="s">
        <v>26</v>
      </c>
      <c r="C550" s="5" t="s">
        <v>27</v>
      </c>
      <c r="D550" s="5">
        <v>122</v>
      </c>
      <c r="E550" s="7" t="s">
        <v>294</v>
      </c>
      <c r="F550" s="5" t="s">
        <v>311</v>
      </c>
      <c r="G550" s="5" t="s">
        <v>967</v>
      </c>
      <c r="H550" s="5">
        <v>2</v>
      </c>
      <c r="I550" s="8">
        <v>45566</v>
      </c>
      <c r="J550" s="9">
        <v>47026</v>
      </c>
      <c r="K550" s="5" t="s">
        <v>29</v>
      </c>
      <c r="L550" s="5" t="s">
        <v>141</v>
      </c>
      <c r="M550" s="5" t="s">
        <v>2167</v>
      </c>
      <c r="N550" s="5" t="s">
        <v>143</v>
      </c>
      <c r="O550" s="5"/>
      <c r="P550" s="44" t="s">
        <v>2168</v>
      </c>
      <c r="Q550" s="12"/>
      <c r="R550" s="5"/>
      <c r="S550" s="5"/>
      <c r="T550" s="5" t="s">
        <v>39</v>
      </c>
      <c r="U550" s="8">
        <v>36969</v>
      </c>
      <c r="V550" s="5"/>
      <c r="W550" s="5"/>
      <c r="X550" s="5"/>
      <c r="Y550" s="5" t="s">
        <v>299</v>
      </c>
    </row>
    <row r="551" spans="1:25" ht="15">
      <c r="A551" s="17" t="s">
        <v>2169</v>
      </c>
      <c r="B551" s="5" t="s">
        <v>26</v>
      </c>
      <c r="C551" s="5" t="s">
        <v>118</v>
      </c>
      <c r="D551" s="5">
        <v>105</v>
      </c>
      <c r="E551" s="7" t="s">
        <v>216</v>
      </c>
      <c r="F551" s="5"/>
      <c r="G551" s="5" t="s">
        <v>599</v>
      </c>
      <c r="H551" s="5">
        <v>2</v>
      </c>
      <c r="I551" s="8">
        <v>45566</v>
      </c>
      <c r="J551" s="9">
        <v>47026</v>
      </c>
      <c r="K551" s="5" t="s">
        <v>120</v>
      </c>
      <c r="L551" s="5" t="s">
        <v>35</v>
      </c>
      <c r="M551" s="5" t="s">
        <v>2170</v>
      </c>
      <c r="N551" s="5" t="s">
        <v>211</v>
      </c>
      <c r="O551" s="5"/>
      <c r="P551" s="44" t="s">
        <v>2171</v>
      </c>
      <c r="Q551" s="12"/>
      <c r="R551" s="5"/>
      <c r="S551" s="5"/>
      <c r="T551" s="5" t="s">
        <v>39</v>
      </c>
      <c r="U551" s="8">
        <v>33759</v>
      </c>
      <c r="V551" s="5"/>
      <c r="W551" s="5"/>
      <c r="X551" s="5"/>
      <c r="Y551" s="5"/>
    </row>
    <row r="552" spans="1:25" ht="13.8">
      <c r="A552" s="26" t="s">
        <v>2172</v>
      </c>
      <c r="B552" s="5" t="s">
        <v>26</v>
      </c>
      <c r="C552" s="5" t="s">
        <v>27</v>
      </c>
      <c r="D552" s="5">
        <v>175</v>
      </c>
      <c r="E552" s="7" t="s">
        <v>146</v>
      </c>
      <c r="F552" s="5" t="s">
        <v>378</v>
      </c>
      <c r="G552" s="5" t="s">
        <v>795</v>
      </c>
      <c r="H552" s="5">
        <v>3</v>
      </c>
      <c r="I552" s="8">
        <v>45047</v>
      </c>
      <c r="J552" s="8">
        <v>46507</v>
      </c>
      <c r="K552" s="5" t="s">
        <v>29</v>
      </c>
      <c r="L552" s="5" t="s">
        <v>35</v>
      </c>
      <c r="M552" s="53" t="s">
        <v>2173</v>
      </c>
      <c r="N552" s="12" t="s">
        <v>37</v>
      </c>
      <c r="O552" s="5"/>
      <c r="P552" s="72" t="s">
        <v>2174</v>
      </c>
      <c r="Q552" s="12"/>
      <c r="R552" s="5"/>
      <c r="S552" s="5"/>
      <c r="T552" s="5" t="s">
        <v>39</v>
      </c>
      <c r="U552" s="16">
        <v>36708</v>
      </c>
      <c r="V552" s="5">
        <f>380970868735</f>
        <v>380970868735</v>
      </c>
      <c r="W552" s="5" t="s">
        <v>40</v>
      </c>
      <c r="X552" s="6">
        <v>2022</v>
      </c>
      <c r="Y552" s="5"/>
    </row>
    <row r="553" spans="1:25" ht="13.8">
      <c r="A553" s="26" t="s">
        <v>2175</v>
      </c>
      <c r="B553" s="5" t="s">
        <v>26</v>
      </c>
      <c r="C553" s="5" t="s">
        <v>27</v>
      </c>
      <c r="D553" s="29">
        <v>105</v>
      </c>
      <c r="E553" s="30" t="s">
        <v>216</v>
      </c>
      <c r="F553" s="5"/>
      <c r="G553" s="13" t="s">
        <v>682</v>
      </c>
      <c r="H553" s="5">
        <v>3</v>
      </c>
      <c r="I553" s="8">
        <v>45200</v>
      </c>
      <c r="J553" s="8">
        <v>46660</v>
      </c>
      <c r="K553" s="5" t="s">
        <v>29</v>
      </c>
      <c r="L553" s="5" t="s">
        <v>35</v>
      </c>
      <c r="M553" s="60" t="s">
        <v>2176</v>
      </c>
      <c r="N553" s="5" t="s">
        <v>85</v>
      </c>
      <c r="O553" s="5"/>
      <c r="P553" s="5" t="s">
        <v>2177</v>
      </c>
      <c r="Q553" s="12"/>
      <c r="R553" s="5"/>
      <c r="S553" s="5"/>
      <c r="T553" s="31" t="s">
        <v>39</v>
      </c>
      <c r="U553" s="33">
        <v>28646</v>
      </c>
      <c r="V553" s="5"/>
      <c r="W553" s="5"/>
      <c r="X553" s="5"/>
      <c r="Y553" s="5" t="s">
        <v>220</v>
      </c>
    </row>
    <row r="554" spans="1:25" ht="13.8">
      <c r="A554" s="26" t="s">
        <v>2178</v>
      </c>
      <c r="B554" s="5" t="s">
        <v>26</v>
      </c>
      <c r="C554" s="5" t="s">
        <v>27</v>
      </c>
      <c r="D554" s="6" t="s">
        <v>76</v>
      </c>
      <c r="E554" s="7" t="s">
        <v>77</v>
      </c>
      <c r="F554" s="5"/>
      <c r="G554" s="5"/>
      <c r="H554" s="5">
        <v>1</v>
      </c>
      <c r="I554" s="8">
        <v>45931</v>
      </c>
      <c r="J554" s="8">
        <v>47391</v>
      </c>
      <c r="K554" s="5" t="s">
        <v>29</v>
      </c>
      <c r="L554" s="5" t="s">
        <v>30</v>
      </c>
      <c r="M554" s="34" t="s">
        <v>2179</v>
      </c>
      <c r="N554" s="5" t="s">
        <v>45</v>
      </c>
      <c r="O554" s="5"/>
      <c r="P554" s="5"/>
      <c r="Q554" s="12"/>
      <c r="R554" s="5"/>
      <c r="S554" s="5"/>
      <c r="T554" s="37" t="s">
        <v>39</v>
      </c>
      <c r="U554" s="33">
        <v>33049</v>
      </c>
      <c r="V554" s="5"/>
      <c r="W554" s="5"/>
      <c r="X554" s="5"/>
      <c r="Y554" s="5"/>
    </row>
    <row r="555" spans="1:25" ht="55.2">
      <c r="A555" s="17" t="s">
        <v>2180</v>
      </c>
      <c r="B555" s="5" t="s">
        <v>68</v>
      </c>
      <c r="C555" s="5" t="s">
        <v>498</v>
      </c>
      <c r="D555" s="5">
        <v>113</v>
      </c>
      <c r="E555" s="7" t="s">
        <v>203</v>
      </c>
      <c r="F555" s="5"/>
      <c r="G555" s="5" t="s">
        <v>499</v>
      </c>
      <c r="H555" s="5">
        <v>3</v>
      </c>
      <c r="I555" s="48">
        <v>44470</v>
      </c>
      <c r="J555" s="48">
        <v>46295</v>
      </c>
      <c r="K555" s="5" t="s">
        <v>29</v>
      </c>
      <c r="L555" s="5" t="s">
        <v>30</v>
      </c>
      <c r="M555" s="28" t="s">
        <v>2181</v>
      </c>
      <c r="N555" s="12" t="s">
        <v>270</v>
      </c>
      <c r="O555" s="5" t="s">
        <v>271</v>
      </c>
      <c r="P555" s="35" t="s">
        <v>2182</v>
      </c>
      <c r="Q555" s="12"/>
      <c r="R555" s="5"/>
      <c r="S555" s="5" t="s">
        <v>502</v>
      </c>
      <c r="T555" s="5" t="s">
        <v>39</v>
      </c>
      <c r="U555" s="48">
        <v>31550</v>
      </c>
      <c r="V555" s="5" t="s">
        <v>2183</v>
      </c>
      <c r="W555" s="5" t="s">
        <v>1612</v>
      </c>
      <c r="X555" s="5">
        <v>2017</v>
      </c>
      <c r="Y555" s="5"/>
    </row>
    <row r="556" spans="1:25" ht="15">
      <c r="A556" s="5" t="s">
        <v>2184</v>
      </c>
      <c r="B556" s="5" t="s">
        <v>26</v>
      </c>
      <c r="C556" s="5" t="s">
        <v>27</v>
      </c>
      <c r="D556" s="5">
        <v>125</v>
      </c>
      <c r="E556" s="7" t="s">
        <v>104</v>
      </c>
      <c r="F556" s="5" t="s">
        <v>477</v>
      </c>
      <c r="G556" s="5" t="s">
        <v>332</v>
      </c>
      <c r="H556" s="5">
        <v>2</v>
      </c>
      <c r="I556" s="8">
        <v>45566</v>
      </c>
      <c r="J556" s="9">
        <v>47026</v>
      </c>
      <c r="K556" s="5" t="s">
        <v>29</v>
      </c>
      <c r="L556" s="5" t="s">
        <v>141</v>
      </c>
      <c r="M556" s="5" t="s">
        <v>2185</v>
      </c>
      <c r="N556" s="5" t="s">
        <v>143</v>
      </c>
      <c r="O556" s="5"/>
      <c r="P556" s="44" t="s">
        <v>2186</v>
      </c>
      <c r="Q556" s="12"/>
      <c r="R556" s="5"/>
      <c r="S556" s="5"/>
      <c r="T556" s="5" t="s">
        <v>39</v>
      </c>
      <c r="U556" s="8">
        <v>33651</v>
      </c>
      <c r="V556" s="5"/>
      <c r="W556" s="5"/>
      <c r="X556" s="5"/>
      <c r="Y556" s="5" t="s">
        <v>106</v>
      </c>
    </row>
    <row r="557" spans="1:25" ht="15">
      <c r="A557" s="5" t="s">
        <v>2187</v>
      </c>
      <c r="B557" s="5" t="s">
        <v>26</v>
      </c>
      <c r="C557" s="5" t="s">
        <v>27</v>
      </c>
      <c r="D557" s="89">
        <v>113</v>
      </c>
      <c r="E557" s="104" t="s">
        <v>203</v>
      </c>
      <c r="F557" s="5"/>
      <c r="G557" s="89"/>
      <c r="H557" s="5">
        <v>1</v>
      </c>
      <c r="I557" s="8">
        <v>45594</v>
      </c>
      <c r="J557" s="36">
        <v>47054</v>
      </c>
      <c r="K557" s="5" t="s">
        <v>83</v>
      </c>
      <c r="L557" s="5" t="s">
        <v>35</v>
      </c>
      <c r="M557" s="89"/>
      <c r="N557" s="5" t="s">
        <v>1535</v>
      </c>
      <c r="O557" s="5"/>
      <c r="P557" s="44"/>
      <c r="Q557" s="12"/>
      <c r="R557" s="5"/>
      <c r="S557" s="5"/>
      <c r="T557" s="5" t="s">
        <v>39</v>
      </c>
      <c r="U557" s="8">
        <v>30462</v>
      </c>
      <c r="V557" s="5"/>
      <c r="W557" s="5"/>
      <c r="X557" s="5"/>
      <c r="Y557" s="5" t="s">
        <v>41</v>
      </c>
    </row>
    <row r="558" spans="1:25" ht="13.8">
      <c r="A558" s="5" t="s">
        <v>2188</v>
      </c>
      <c r="B558" s="5" t="s">
        <v>47</v>
      </c>
      <c r="C558" s="5" t="s">
        <v>27</v>
      </c>
      <c r="D558" s="5">
        <v>123</v>
      </c>
      <c r="E558" s="7" t="s">
        <v>80</v>
      </c>
      <c r="F558" s="5" t="s">
        <v>81</v>
      </c>
      <c r="G558" s="5" t="s">
        <v>1300</v>
      </c>
      <c r="H558" s="5"/>
      <c r="I558" s="48">
        <v>44470</v>
      </c>
      <c r="J558" s="48">
        <v>45923</v>
      </c>
      <c r="K558" s="5" t="s">
        <v>29</v>
      </c>
      <c r="L558" s="5" t="s">
        <v>30</v>
      </c>
      <c r="M558" s="49" t="s">
        <v>2189</v>
      </c>
      <c r="N558" s="12" t="s">
        <v>270</v>
      </c>
      <c r="O558" s="5" t="s">
        <v>271</v>
      </c>
      <c r="P558" s="53" t="s">
        <v>2190</v>
      </c>
      <c r="Q558" s="12" t="s">
        <v>491</v>
      </c>
      <c r="R558" s="5" t="s">
        <v>492</v>
      </c>
      <c r="S558" s="5"/>
      <c r="T558" s="5" t="s">
        <v>39</v>
      </c>
      <c r="U558" s="48">
        <v>35310</v>
      </c>
      <c r="V558" s="5" t="s">
        <v>2191</v>
      </c>
      <c r="W558" s="5" t="s">
        <v>40</v>
      </c>
      <c r="X558" s="5">
        <v>2019</v>
      </c>
      <c r="Y558" s="5"/>
    </row>
    <row r="559" spans="1:25" ht="13.8">
      <c r="A559" s="13" t="s">
        <v>2192</v>
      </c>
      <c r="B559" s="5" t="s">
        <v>26</v>
      </c>
      <c r="C559" s="5" t="s">
        <v>27</v>
      </c>
      <c r="D559" s="29">
        <v>126</v>
      </c>
      <c r="E559" s="30" t="s">
        <v>80</v>
      </c>
      <c r="F559" s="5" t="s">
        <v>81</v>
      </c>
      <c r="G559" s="13" t="s">
        <v>336</v>
      </c>
      <c r="H559" s="5">
        <v>2</v>
      </c>
      <c r="I559" s="8">
        <v>45231</v>
      </c>
      <c r="J559" s="36">
        <v>46691</v>
      </c>
      <c r="K559" s="5" t="s">
        <v>29</v>
      </c>
      <c r="L559" s="5" t="s">
        <v>35</v>
      </c>
      <c r="M559" s="13" t="s">
        <v>2193</v>
      </c>
      <c r="N559" s="37" t="s">
        <v>128</v>
      </c>
      <c r="O559" s="5"/>
      <c r="P559" s="5" t="s">
        <v>2194</v>
      </c>
      <c r="Q559" s="12"/>
      <c r="R559" s="5"/>
      <c r="S559" s="5" t="s">
        <v>2195</v>
      </c>
      <c r="T559" s="5" t="s">
        <v>39</v>
      </c>
      <c r="U559" s="33">
        <v>34604</v>
      </c>
      <c r="V559" s="5"/>
      <c r="W559" s="5"/>
      <c r="X559" s="5"/>
      <c r="Y559" s="5" t="s">
        <v>88</v>
      </c>
    </row>
  </sheetData>
  <autoFilter ref="A1:Y559" xr:uid="{00000000-0009-0000-0000-000000000000}"/>
  <hyperlinks>
    <hyperlink ref="M176" r:id="rId1" xr:uid="{00000000-0004-0000-0000-000000000000}"/>
    <hyperlink ref="M179" r:id="rId2" xr:uid="{00000000-0004-0000-0000-000001000000}"/>
    <hyperlink ref="M201" r:id="rId3" xr:uid="{00000000-0004-0000-0000-000002000000}"/>
    <hyperlink ref="M256" r:id="rId4" xr:uid="{00000000-0004-0000-0000-000003000000}"/>
    <hyperlink ref="M260" r:id="rId5" xr:uid="{00000000-0004-0000-0000-000004000000}"/>
    <hyperlink ref="M317" r:id="rId6" xr:uid="{00000000-0004-0000-0000-000005000000}"/>
    <hyperlink ref="M336" r:id="rId7" xr:uid="{00000000-0004-0000-0000-000006000000}"/>
    <hyperlink ref="M373" r:id="rId8" xr:uid="{00000000-0004-0000-0000-000007000000}"/>
    <hyperlink ref="M475" r:id="rId9" xr:uid="{00000000-0004-0000-0000-000008000000}"/>
    <hyperlink ref="M509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49"/>
  <sheetViews>
    <sheetView workbookViewId="0"/>
  </sheetViews>
  <sheetFormatPr defaultColWidth="12.6640625" defaultRowHeight="15.75" customHeight="1"/>
  <cols>
    <col min="1" max="1" width="36.109375" customWidth="1"/>
    <col min="2" max="2" width="21.77734375" customWidth="1"/>
  </cols>
  <sheetData>
    <row r="1" spans="1:19">
      <c r="A1" s="2" t="s">
        <v>2196</v>
      </c>
      <c r="B1" s="2" t="s">
        <v>2</v>
      </c>
      <c r="C1" s="3" t="s">
        <v>2197</v>
      </c>
      <c r="D1" s="2" t="s">
        <v>4</v>
      </c>
      <c r="E1" s="2" t="s">
        <v>2198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4" t="s">
        <v>15</v>
      </c>
      <c r="O1" s="2" t="s">
        <v>16</v>
      </c>
      <c r="P1" s="2" t="s">
        <v>18</v>
      </c>
      <c r="Q1" s="2" t="s">
        <v>19</v>
      </c>
      <c r="R1" s="2" t="s">
        <v>20</v>
      </c>
      <c r="S1" s="2" t="s">
        <v>21</v>
      </c>
    </row>
    <row r="2" spans="1:19" ht="15.75" customHeight="1">
      <c r="A2" s="105" t="s">
        <v>2199</v>
      </c>
      <c r="B2" s="106" t="s">
        <v>26</v>
      </c>
      <c r="C2" s="107">
        <v>172</v>
      </c>
      <c r="D2" s="108" t="s">
        <v>131</v>
      </c>
      <c r="E2" s="108" t="s">
        <v>1968</v>
      </c>
      <c r="G2" s="109">
        <v>44570</v>
      </c>
      <c r="H2" s="110" t="s">
        <v>2200</v>
      </c>
      <c r="J2" s="111" t="s">
        <v>35</v>
      </c>
      <c r="K2" s="105" t="s">
        <v>2201</v>
      </c>
    </row>
    <row r="3" spans="1:19" ht="15.75" customHeight="1">
      <c r="A3" s="105" t="s">
        <v>2202</v>
      </c>
      <c r="B3" s="106" t="s">
        <v>26</v>
      </c>
      <c r="C3" s="107">
        <v>122</v>
      </c>
      <c r="D3" s="108" t="s">
        <v>2203</v>
      </c>
      <c r="E3" s="108" t="s">
        <v>2204</v>
      </c>
      <c r="G3" s="109">
        <v>44570</v>
      </c>
      <c r="H3" s="110" t="s">
        <v>2200</v>
      </c>
      <c r="J3" s="111" t="s">
        <v>35</v>
      </c>
      <c r="K3" s="105"/>
    </row>
    <row r="4" spans="1:19" ht="15.75" customHeight="1">
      <c r="A4" s="105" t="s">
        <v>2205</v>
      </c>
      <c r="B4" s="106" t="s">
        <v>26</v>
      </c>
      <c r="C4" s="107">
        <v>122</v>
      </c>
      <c r="D4" s="108" t="s">
        <v>203</v>
      </c>
      <c r="E4" s="108" t="s">
        <v>2206</v>
      </c>
      <c r="G4" s="109">
        <v>44570</v>
      </c>
      <c r="H4" s="110" t="s">
        <v>2200</v>
      </c>
      <c r="J4" s="111" t="s">
        <v>35</v>
      </c>
      <c r="K4" s="105" t="s">
        <v>2207</v>
      </c>
    </row>
    <row r="5" spans="1:19" ht="15.75" customHeight="1">
      <c r="A5" s="105" t="s">
        <v>2208</v>
      </c>
      <c r="B5" s="106" t="s">
        <v>47</v>
      </c>
      <c r="C5" s="107">
        <v>123</v>
      </c>
      <c r="D5" s="108" t="s">
        <v>249</v>
      </c>
      <c r="E5" s="108" t="s">
        <v>687</v>
      </c>
      <c r="G5" s="109">
        <v>44571</v>
      </c>
      <c r="H5" s="112">
        <v>45342</v>
      </c>
      <c r="J5" s="111" t="s">
        <v>35</v>
      </c>
      <c r="K5" s="105" t="s">
        <v>2209</v>
      </c>
    </row>
    <row r="6" spans="1:19" ht="15.75" customHeight="1">
      <c r="A6" s="105" t="s">
        <v>2210</v>
      </c>
      <c r="B6" s="106" t="s">
        <v>26</v>
      </c>
      <c r="C6" s="107">
        <v>122</v>
      </c>
      <c r="D6" s="108" t="s">
        <v>294</v>
      </c>
      <c r="E6" s="108" t="s">
        <v>672</v>
      </c>
      <c r="G6" s="109">
        <v>44571</v>
      </c>
      <c r="H6" s="111" t="s">
        <v>2211</v>
      </c>
      <c r="J6" s="111" t="s">
        <v>50</v>
      </c>
      <c r="K6" s="105" t="s">
        <v>2212</v>
      </c>
    </row>
    <row r="7" spans="1:19" ht="15.75" customHeight="1">
      <c r="A7" s="105" t="s">
        <v>2213</v>
      </c>
      <c r="B7" s="106" t="s">
        <v>26</v>
      </c>
      <c r="C7" s="107">
        <v>122</v>
      </c>
      <c r="D7" s="108" t="s">
        <v>180</v>
      </c>
      <c r="E7" s="108" t="s">
        <v>182</v>
      </c>
      <c r="G7" s="109">
        <v>44571</v>
      </c>
      <c r="H7" s="111" t="s">
        <v>2211</v>
      </c>
      <c r="J7" s="111" t="s">
        <v>50</v>
      </c>
      <c r="K7" s="105" t="s">
        <v>2214</v>
      </c>
    </row>
    <row r="8" spans="1:19" ht="15.75" customHeight="1">
      <c r="A8" s="105" t="s">
        <v>2215</v>
      </c>
      <c r="B8" s="106" t="s">
        <v>26</v>
      </c>
      <c r="C8" s="107">
        <v>122</v>
      </c>
      <c r="D8" s="108" t="s">
        <v>322</v>
      </c>
      <c r="E8" s="108" t="s">
        <v>1373</v>
      </c>
      <c r="G8" s="109">
        <v>44935</v>
      </c>
      <c r="H8" s="111" t="s">
        <v>2216</v>
      </c>
      <c r="J8" s="111" t="s">
        <v>50</v>
      </c>
      <c r="K8" s="105" t="s">
        <v>2217</v>
      </c>
    </row>
    <row r="9" spans="1:19" ht="15.75" customHeight="1">
      <c r="A9" s="105" t="s">
        <v>2218</v>
      </c>
      <c r="B9" s="106" t="s">
        <v>26</v>
      </c>
      <c r="C9" s="107">
        <v>123</v>
      </c>
      <c r="D9" s="108" t="s">
        <v>249</v>
      </c>
      <c r="E9" s="108" t="s">
        <v>251</v>
      </c>
      <c r="G9" s="109">
        <v>44937</v>
      </c>
      <c r="H9" s="111" t="s">
        <v>2219</v>
      </c>
      <c r="J9" s="111" t="s">
        <v>50</v>
      </c>
      <c r="K9" s="105" t="s">
        <v>2220</v>
      </c>
    </row>
    <row r="10" spans="1:19" ht="15.75" customHeight="1">
      <c r="A10" s="105" t="s">
        <v>2221</v>
      </c>
      <c r="B10" s="106" t="s">
        <v>26</v>
      </c>
      <c r="C10" s="107">
        <v>172</v>
      </c>
      <c r="D10" s="108" t="s">
        <v>180</v>
      </c>
      <c r="E10" s="108" t="s">
        <v>182</v>
      </c>
      <c r="G10" s="109">
        <v>44937</v>
      </c>
      <c r="H10" s="111" t="s">
        <v>2219</v>
      </c>
      <c r="J10" s="111" t="s">
        <v>50</v>
      </c>
      <c r="K10" s="105" t="s">
        <v>2222</v>
      </c>
    </row>
    <row r="11" spans="1:19" ht="15.75" customHeight="1">
      <c r="A11" s="105" t="s">
        <v>2223</v>
      </c>
      <c r="B11" s="106" t="s">
        <v>26</v>
      </c>
      <c r="C11" s="107">
        <v>125</v>
      </c>
      <c r="D11" s="108" t="s">
        <v>131</v>
      </c>
      <c r="E11" s="108" t="s">
        <v>2224</v>
      </c>
      <c r="G11" s="109">
        <v>44937</v>
      </c>
      <c r="H11" s="111" t="s">
        <v>2219</v>
      </c>
      <c r="J11" s="111" t="s">
        <v>35</v>
      </c>
      <c r="K11" s="105" t="s">
        <v>2225</v>
      </c>
    </row>
    <row r="12" spans="1:19" ht="15.75" customHeight="1">
      <c r="A12" s="105" t="s">
        <v>2226</v>
      </c>
      <c r="B12" s="106" t="s">
        <v>2227</v>
      </c>
      <c r="C12" s="113">
        <v>122</v>
      </c>
      <c r="D12" s="106" t="s">
        <v>294</v>
      </c>
      <c r="E12" s="114" t="s">
        <v>2228</v>
      </c>
      <c r="F12" s="115"/>
      <c r="G12" s="115">
        <v>43111</v>
      </c>
      <c r="H12" s="116" t="s">
        <v>2229</v>
      </c>
      <c r="K12" s="105" t="s">
        <v>2230</v>
      </c>
    </row>
    <row r="13" spans="1:19" ht="15.75" customHeight="1">
      <c r="C13" s="113"/>
    </row>
    <row r="14" spans="1:19" ht="15.75" customHeight="1">
      <c r="C14" s="113"/>
    </row>
    <row r="15" spans="1:19" ht="15.75" customHeight="1">
      <c r="C15" s="113"/>
    </row>
    <row r="16" spans="1:19" ht="15.75" customHeight="1">
      <c r="C16" s="113"/>
    </row>
    <row r="17" spans="2:3" ht="15.75" customHeight="1">
      <c r="C17" s="113"/>
    </row>
    <row r="18" spans="2:3" ht="15.75" customHeight="1">
      <c r="C18" s="113"/>
    </row>
    <row r="19" spans="2:3" ht="15.75" customHeight="1">
      <c r="C19" s="113"/>
    </row>
    <row r="20" spans="2:3" ht="15.75" customHeight="1">
      <c r="C20" s="113"/>
    </row>
    <row r="21" spans="2:3" ht="15.75" customHeight="1">
      <c r="C21" s="113"/>
    </row>
    <row r="22" spans="2:3" ht="15.75" customHeight="1">
      <c r="C22" s="113"/>
    </row>
    <row r="23" spans="2:3" ht="15.75" customHeight="1">
      <c r="C23" s="113"/>
    </row>
    <row r="24" spans="2:3" ht="15.75" customHeight="1">
      <c r="C24" s="113"/>
    </row>
    <row r="25" spans="2:3" ht="15.75" customHeight="1">
      <c r="B25" s="113"/>
    </row>
    <row r="26" spans="2:3" ht="15.75" customHeight="1">
      <c r="C26" s="113"/>
    </row>
    <row r="27" spans="2:3" ht="15.6">
      <c r="C27" s="113"/>
    </row>
    <row r="28" spans="2:3" ht="15.6">
      <c r="C28" s="113"/>
    </row>
    <row r="29" spans="2:3" ht="15.6">
      <c r="C29" s="113"/>
    </row>
    <row r="30" spans="2:3" ht="15.6">
      <c r="C30" s="113"/>
    </row>
    <row r="31" spans="2:3" ht="15.6">
      <c r="C31" s="113"/>
    </row>
    <row r="32" spans="2:3" ht="15.6">
      <c r="C32" s="113"/>
    </row>
    <row r="33" spans="3:3" ht="15.6">
      <c r="C33" s="113"/>
    </row>
    <row r="34" spans="3:3" ht="15.6">
      <c r="C34" s="113"/>
    </row>
    <row r="35" spans="3:3" ht="15.6">
      <c r="C35" s="113"/>
    </row>
    <row r="36" spans="3:3" ht="15.6">
      <c r="C36" s="113"/>
    </row>
    <row r="37" spans="3:3" ht="15.6">
      <c r="C37" s="113"/>
    </row>
    <row r="38" spans="3:3" ht="15.6">
      <c r="C38" s="113"/>
    </row>
    <row r="39" spans="3:3" ht="15.6">
      <c r="C39" s="113"/>
    </row>
    <row r="40" spans="3:3" ht="15.6">
      <c r="C40" s="113"/>
    </row>
    <row r="41" spans="3:3" ht="15.6">
      <c r="C41" s="113"/>
    </row>
    <row r="42" spans="3:3" ht="15.6">
      <c r="C42" s="113"/>
    </row>
    <row r="43" spans="3:3" ht="15.6">
      <c r="C43" s="113"/>
    </row>
    <row r="44" spans="3:3" ht="15.6">
      <c r="C44" s="113"/>
    </row>
    <row r="45" spans="3:3" ht="15.6">
      <c r="C45" s="113"/>
    </row>
    <row r="46" spans="3:3" ht="15.6">
      <c r="C46" s="113"/>
    </row>
    <row r="47" spans="3:3" ht="15.6">
      <c r="C47" s="113"/>
    </row>
    <row r="48" spans="3:3" ht="15.6">
      <c r="C48" s="113"/>
    </row>
    <row r="49" spans="3:3" ht="15.6">
      <c r="C49" s="113"/>
    </row>
    <row r="50" spans="3:3" ht="15.6">
      <c r="C50" s="113"/>
    </row>
    <row r="51" spans="3:3" ht="15.6">
      <c r="C51" s="113"/>
    </row>
    <row r="52" spans="3:3" ht="15.6">
      <c r="C52" s="113"/>
    </row>
    <row r="53" spans="3:3" ht="15.6">
      <c r="C53" s="113"/>
    </row>
    <row r="54" spans="3:3" ht="15.6">
      <c r="C54" s="113"/>
    </row>
    <row r="55" spans="3:3" ht="15.6">
      <c r="C55" s="113"/>
    </row>
    <row r="56" spans="3:3" ht="15.6">
      <c r="C56" s="113"/>
    </row>
    <row r="57" spans="3:3" ht="15.6">
      <c r="C57" s="113"/>
    </row>
    <row r="58" spans="3:3" ht="15.6">
      <c r="C58" s="113"/>
    </row>
    <row r="59" spans="3:3" ht="15.6">
      <c r="C59" s="113"/>
    </row>
    <row r="60" spans="3:3" ht="15.6">
      <c r="C60" s="113"/>
    </row>
    <row r="61" spans="3:3" ht="15.6">
      <c r="C61" s="113"/>
    </row>
    <row r="62" spans="3:3" ht="15.6">
      <c r="C62" s="113"/>
    </row>
    <row r="63" spans="3:3" ht="15.6">
      <c r="C63" s="113"/>
    </row>
    <row r="64" spans="3:3" ht="15.6">
      <c r="C64" s="113"/>
    </row>
    <row r="65" spans="3:3" ht="15.6">
      <c r="C65" s="113"/>
    </row>
    <row r="66" spans="3:3" ht="15.6">
      <c r="C66" s="113"/>
    </row>
    <row r="67" spans="3:3" ht="15.6">
      <c r="C67" s="113"/>
    </row>
    <row r="68" spans="3:3" ht="15.6">
      <c r="C68" s="113"/>
    </row>
    <row r="69" spans="3:3" ht="15.6">
      <c r="C69" s="113"/>
    </row>
    <row r="70" spans="3:3" ht="15.6">
      <c r="C70" s="113"/>
    </row>
    <row r="71" spans="3:3" ht="15.6">
      <c r="C71" s="113"/>
    </row>
    <row r="72" spans="3:3" ht="15.6">
      <c r="C72" s="113"/>
    </row>
    <row r="73" spans="3:3" ht="15.6">
      <c r="C73" s="113"/>
    </row>
    <row r="74" spans="3:3" ht="15.6">
      <c r="C74" s="113"/>
    </row>
    <row r="75" spans="3:3" ht="15.6">
      <c r="C75" s="113"/>
    </row>
    <row r="76" spans="3:3" ht="15.6">
      <c r="C76" s="113"/>
    </row>
    <row r="77" spans="3:3" ht="15.6">
      <c r="C77" s="113"/>
    </row>
    <row r="78" spans="3:3" ht="15.6">
      <c r="C78" s="113"/>
    </row>
    <row r="79" spans="3:3" ht="15.6">
      <c r="C79" s="113"/>
    </row>
    <row r="80" spans="3:3" ht="15.6">
      <c r="C80" s="113"/>
    </row>
    <row r="81" spans="3:3" ht="15.6">
      <c r="C81" s="113"/>
    </row>
    <row r="82" spans="3:3" ht="15.6">
      <c r="C82" s="113"/>
    </row>
    <row r="83" spans="3:3" ht="15.6">
      <c r="C83" s="113"/>
    </row>
    <row r="84" spans="3:3" ht="15.6">
      <c r="C84" s="113"/>
    </row>
    <row r="85" spans="3:3" ht="15.6">
      <c r="C85" s="113"/>
    </row>
    <row r="86" spans="3:3" ht="15.6">
      <c r="C86" s="113"/>
    </row>
    <row r="87" spans="3:3" ht="15.6">
      <c r="C87" s="113"/>
    </row>
    <row r="88" spans="3:3" ht="15.6">
      <c r="C88" s="113"/>
    </row>
    <row r="89" spans="3:3" ht="15.6">
      <c r="C89" s="113"/>
    </row>
    <row r="90" spans="3:3" ht="15.6">
      <c r="C90" s="113"/>
    </row>
    <row r="91" spans="3:3" ht="15.6">
      <c r="C91" s="113"/>
    </row>
    <row r="92" spans="3:3" ht="15.6">
      <c r="C92" s="113"/>
    </row>
    <row r="93" spans="3:3" ht="15.6">
      <c r="C93" s="113"/>
    </row>
    <row r="94" spans="3:3" ht="15.6">
      <c r="C94" s="113"/>
    </row>
    <row r="95" spans="3:3" ht="15.6">
      <c r="C95" s="113"/>
    </row>
    <row r="96" spans="3:3" ht="15.6">
      <c r="C96" s="113"/>
    </row>
    <row r="97" spans="3:3" ht="15.6">
      <c r="C97" s="113"/>
    </row>
    <row r="98" spans="3:3" ht="15.6">
      <c r="C98" s="113"/>
    </row>
    <row r="99" spans="3:3" ht="15.6">
      <c r="C99" s="113"/>
    </row>
    <row r="100" spans="3:3" ht="15.6">
      <c r="C100" s="113"/>
    </row>
    <row r="101" spans="3:3" ht="15.6">
      <c r="C101" s="113"/>
    </row>
    <row r="102" spans="3:3" ht="15.6">
      <c r="C102" s="113"/>
    </row>
    <row r="103" spans="3:3" ht="15.6">
      <c r="C103" s="113"/>
    </row>
    <row r="104" spans="3:3" ht="15.6">
      <c r="C104" s="113"/>
    </row>
    <row r="105" spans="3:3" ht="15.6">
      <c r="C105" s="113"/>
    </row>
    <row r="106" spans="3:3" ht="15.6">
      <c r="C106" s="113"/>
    </row>
    <row r="107" spans="3:3" ht="15.6">
      <c r="C107" s="113"/>
    </row>
    <row r="108" spans="3:3" ht="15.6">
      <c r="C108" s="113"/>
    </row>
    <row r="109" spans="3:3" ht="15.6">
      <c r="C109" s="113"/>
    </row>
    <row r="110" spans="3:3" ht="15.6">
      <c r="C110" s="113"/>
    </row>
    <row r="111" spans="3:3" ht="15.6">
      <c r="C111" s="113"/>
    </row>
    <row r="112" spans="3:3" ht="15.6">
      <c r="C112" s="113"/>
    </row>
    <row r="113" spans="3:3" ht="15.6">
      <c r="C113" s="113"/>
    </row>
    <row r="114" spans="3:3" ht="15.6">
      <c r="C114" s="113"/>
    </row>
    <row r="115" spans="3:3" ht="15.6">
      <c r="C115" s="113"/>
    </row>
    <row r="116" spans="3:3" ht="15.6">
      <c r="C116" s="113"/>
    </row>
    <row r="117" spans="3:3" ht="15.6">
      <c r="C117" s="113"/>
    </row>
    <row r="118" spans="3:3" ht="15.6">
      <c r="C118" s="113"/>
    </row>
    <row r="119" spans="3:3" ht="15.6">
      <c r="C119" s="113"/>
    </row>
    <row r="120" spans="3:3" ht="15.6">
      <c r="C120" s="113"/>
    </row>
    <row r="121" spans="3:3" ht="15.6">
      <c r="C121" s="113"/>
    </row>
    <row r="122" spans="3:3" ht="15.6">
      <c r="C122" s="113"/>
    </row>
    <row r="123" spans="3:3" ht="15.6">
      <c r="C123" s="113"/>
    </row>
    <row r="124" spans="3:3" ht="15.6">
      <c r="C124" s="113"/>
    </row>
    <row r="125" spans="3:3" ht="15.6">
      <c r="C125" s="113"/>
    </row>
    <row r="126" spans="3:3" ht="15.6">
      <c r="C126" s="113"/>
    </row>
    <row r="127" spans="3:3" ht="15.6">
      <c r="C127" s="113"/>
    </row>
    <row r="128" spans="3:3" ht="15.6">
      <c r="C128" s="113"/>
    </row>
    <row r="129" spans="3:3" ht="15.6">
      <c r="C129" s="113"/>
    </row>
    <row r="130" spans="3:3" ht="15.6">
      <c r="C130" s="113"/>
    </row>
    <row r="131" spans="3:3" ht="15.6">
      <c r="C131" s="113"/>
    </row>
    <row r="132" spans="3:3" ht="15.6">
      <c r="C132" s="113"/>
    </row>
    <row r="133" spans="3:3" ht="15.6">
      <c r="C133" s="113"/>
    </row>
    <row r="134" spans="3:3" ht="15.6">
      <c r="C134" s="113"/>
    </row>
    <row r="135" spans="3:3" ht="15.6">
      <c r="C135" s="113"/>
    </row>
    <row r="136" spans="3:3" ht="15.6">
      <c r="C136" s="113"/>
    </row>
    <row r="137" spans="3:3" ht="15.6">
      <c r="C137" s="113"/>
    </row>
    <row r="138" spans="3:3" ht="15.6">
      <c r="C138" s="113"/>
    </row>
    <row r="139" spans="3:3" ht="15.6">
      <c r="C139" s="113"/>
    </row>
    <row r="140" spans="3:3" ht="15.6">
      <c r="C140" s="113"/>
    </row>
    <row r="141" spans="3:3" ht="15.6">
      <c r="C141" s="113"/>
    </row>
    <row r="142" spans="3:3" ht="15.6">
      <c r="C142" s="113"/>
    </row>
    <row r="143" spans="3:3" ht="15.6">
      <c r="C143" s="113"/>
    </row>
    <row r="144" spans="3:3" ht="15.6">
      <c r="C144" s="113"/>
    </row>
    <row r="145" spans="3:3" ht="15.6">
      <c r="C145" s="113"/>
    </row>
    <row r="146" spans="3:3" ht="15.6">
      <c r="C146" s="113"/>
    </row>
    <row r="147" spans="3:3" ht="15.6">
      <c r="C147" s="113"/>
    </row>
    <row r="148" spans="3:3" ht="15.6">
      <c r="C148" s="113"/>
    </row>
    <row r="149" spans="3:3" ht="15.6">
      <c r="C149" s="1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790"/>
  <sheetViews>
    <sheetView workbookViewId="0"/>
  </sheetViews>
  <sheetFormatPr defaultColWidth="12.6640625" defaultRowHeight="15.75" customHeight="1"/>
  <cols>
    <col min="1" max="1" width="18.21875" customWidth="1"/>
    <col min="2" max="2" width="21.77734375" customWidth="1"/>
  </cols>
  <sheetData>
    <row r="1" spans="1:11" ht="15.75" customHeight="1">
      <c r="A1" s="26"/>
      <c r="C1" s="107"/>
      <c r="D1" s="108"/>
      <c r="E1" s="108"/>
      <c r="G1" s="109"/>
      <c r="H1" s="111"/>
      <c r="J1" s="111"/>
      <c r="K1" s="105"/>
    </row>
    <row r="2" spans="1:11">
      <c r="A2" s="17"/>
    </row>
    <row r="3" spans="1:11">
      <c r="A3" s="17"/>
    </row>
    <row r="4" spans="1:11" ht="15.75" customHeight="1">
      <c r="A4" s="26"/>
      <c r="C4" s="113"/>
    </row>
    <row r="5" spans="1:11">
      <c r="A5" s="26"/>
    </row>
    <row r="6" spans="1:11">
      <c r="A6" s="26"/>
    </row>
    <row r="7" spans="1:11">
      <c r="A7" s="17"/>
    </row>
    <row r="8" spans="1:11" ht="15.75" customHeight="1">
      <c r="A8" s="17"/>
      <c r="C8" s="107"/>
      <c r="D8" s="108"/>
      <c r="E8" s="108"/>
      <c r="G8" s="109"/>
      <c r="H8" s="111"/>
      <c r="J8" s="111"/>
      <c r="K8" s="105"/>
    </row>
    <row r="9" spans="1:11" ht="15.75" customHeight="1">
      <c r="A9" s="26"/>
      <c r="C9" s="113"/>
    </row>
    <row r="10" spans="1:11">
      <c r="A10" s="17"/>
    </row>
    <row r="11" spans="1:11" ht="15.75" customHeight="1">
      <c r="A11" s="26"/>
      <c r="C11" s="107"/>
      <c r="D11" s="108"/>
      <c r="E11" s="108"/>
      <c r="G11" s="109"/>
      <c r="H11" s="111"/>
      <c r="J11" s="111"/>
      <c r="K11" s="105"/>
    </row>
    <row r="12" spans="1:11" ht="15.75" customHeight="1">
      <c r="A12" s="17"/>
      <c r="C12" s="113"/>
    </row>
    <row r="13" spans="1:11">
      <c r="A13" s="17"/>
    </row>
    <row r="14" spans="1:11">
      <c r="A14" s="17"/>
    </row>
    <row r="15" spans="1:11">
      <c r="A15" s="17"/>
    </row>
    <row r="16" spans="1:11" ht="15.75" customHeight="1">
      <c r="A16" s="26"/>
      <c r="C16" s="113"/>
    </row>
    <row r="17" spans="1:11">
      <c r="A17" s="17"/>
    </row>
    <row r="18" spans="1:11" ht="15.75" customHeight="1">
      <c r="A18" s="26"/>
      <c r="C18" s="107"/>
      <c r="D18" s="108"/>
      <c r="E18" s="108"/>
      <c r="G18" s="109"/>
      <c r="H18" s="111"/>
      <c r="J18" s="111"/>
      <c r="K18" s="105"/>
    </row>
    <row r="19" spans="1:11">
      <c r="A19" s="17"/>
    </row>
    <row r="20" spans="1:11" ht="15.75" customHeight="1">
      <c r="A20" s="26"/>
      <c r="C20" s="107"/>
      <c r="D20" s="108"/>
      <c r="E20" s="108"/>
      <c r="G20" s="109"/>
      <c r="H20" s="111"/>
      <c r="J20" s="111"/>
      <c r="K20" s="105"/>
    </row>
    <row r="21" spans="1:11">
      <c r="A21" s="17"/>
    </row>
    <row r="22" spans="1:11" ht="15.75" customHeight="1">
      <c r="A22" s="26"/>
      <c r="C22" s="107"/>
      <c r="D22" s="108"/>
      <c r="E22" s="108"/>
      <c r="G22" s="109"/>
      <c r="H22" s="111"/>
      <c r="J22" s="111"/>
      <c r="K22" s="105"/>
    </row>
    <row r="23" spans="1:11">
      <c r="A23" s="17"/>
    </row>
    <row r="24" spans="1:11" ht="15.75" customHeight="1">
      <c r="A24" s="17"/>
      <c r="C24" s="113"/>
    </row>
    <row r="25" spans="1:11" ht="15.75" customHeight="1">
      <c r="A25" s="17"/>
      <c r="C25" s="113"/>
    </row>
    <row r="26" spans="1:11" ht="15.75" customHeight="1">
      <c r="A26" s="26"/>
      <c r="C26" s="113"/>
    </row>
    <row r="27" spans="1:11" ht="15.6">
      <c r="A27" s="26"/>
      <c r="C27" s="113"/>
    </row>
    <row r="28" spans="1:11" ht="15.6">
      <c r="A28" s="26"/>
      <c r="C28" s="113"/>
    </row>
    <row r="29" spans="1:11" ht="13.8">
      <c r="A29" s="17"/>
    </row>
    <row r="30" spans="1:11" ht="13.8">
      <c r="A30" s="17"/>
    </row>
    <row r="31" spans="1:11" ht="13.8">
      <c r="A31" s="17"/>
    </row>
    <row r="32" spans="1:11" ht="15.6">
      <c r="A32" s="17"/>
      <c r="C32" s="113"/>
    </row>
    <row r="33" spans="1:3" ht="13.8">
      <c r="A33" s="17"/>
    </row>
    <row r="34" spans="1:3" ht="15.6">
      <c r="A34" s="26"/>
      <c r="C34" s="113"/>
    </row>
    <row r="35" spans="1:3" ht="13.8">
      <c r="A35" s="17"/>
    </row>
    <row r="36" spans="1:3" ht="15.6">
      <c r="A36" s="26"/>
      <c r="C36" s="113"/>
    </row>
    <row r="37" spans="1:3" ht="13.8">
      <c r="A37" s="17"/>
    </row>
    <row r="38" spans="1:3" ht="15.6">
      <c r="A38" s="26"/>
      <c r="C38" s="113"/>
    </row>
    <row r="39" spans="1:3" ht="15.6">
      <c r="A39" s="26"/>
      <c r="C39" s="113"/>
    </row>
    <row r="40" spans="1:3" ht="13.8">
      <c r="A40" s="17"/>
    </row>
    <row r="41" spans="1:3" ht="13.8">
      <c r="A41" s="17"/>
    </row>
    <row r="42" spans="1:3" ht="15.6">
      <c r="A42" s="26"/>
      <c r="C42" s="113"/>
    </row>
    <row r="43" spans="1:3" ht="13.8">
      <c r="A43" s="17"/>
    </row>
    <row r="44" spans="1:3" ht="13.8">
      <c r="A44" s="17"/>
    </row>
    <row r="45" spans="1:3" ht="13.8">
      <c r="A45" s="17"/>
    </row>
    <row r="46" spans="1:3" ht="13.8">
      <c r="A46" s="17"/>
    </row>
    <row r="47" spans="1:3" ht="13.8">
      <c r="A47" s="17"/>
    </row>
    <row r="48" spans="1:3" ht="13.8">
      <c r="A48" s="17"/>
    </row>
    <row r="49" spans="1:3" ht="13.8">
      <c r="A49" s="17"/>
    </row>
    <row r="50" spans="1:3" ht="15.6">
      <c r="A50" s="26"/>
      <c r="C50" s="113"/>
    </row>
    <row r="51" spans="1:3" ht="13.8">
      <c r="A51" s="17"/>
    </row>
    <row r="52" spans="1:3" ht="15.6">
      <c r="A52" s="26"/>
      <c r="C52" s="113"/>
    </row>
    <row r="53" spans="1:3" ht="13.8">
      <c r="A53" s="17"/>
    </row>
    <row r="54" spans="1:3" ht="13.8">
      <c r="A54" s="17"/>
    </row>
    <row r="55" spans="1:3" ht="13.8">
      <c r="A55" s="17"/>
    </row>
    <row r="56" spans="1:3" ht="13.8">
      <c r="A56" s="17"/>
    </row>
    <row r="57" spans="1:3" ht="15.6">
      <c r="A57" s="26"/>
      <c r="C57" s="113"/>
    </row>
    <row r="58" spans="1:3" ht="15.6">
      <c r="A58" s="26"/>
      <c r="C58" s="113"/>
    </row>
    <row r="59" spans="1:3" ht="13.8">
      <c r="A59" s="17"/>
    </row>
    <row r="60" spans="1:3" ht="13.8">
      <c r="A60" s="17"/>
    </row>
    <row r="61" spans="1:3" ht="13.8">
      <c r="A61" s="17"/>
    </row>
    <row r="62" spans="1:3" ht="13.8">
      <c r="A62" s="17"/>
    </row>
    <row r="63" spans="1:3" ht="13.8">
      <c r="A63" s="17"/>
    </row>
    <row r="64" spans="1:3" ht="13.8">
      <c r="A64" s="17"/>
    </row>
    <row r="65" spans="1:3" ht="15.6">
      <c r="A65" s="26"/>
      <c r="C65" s="113"/>
    </row>
    <row r="66" spans="1:3" ht="13.8">
      <c r="A66" s="17"/>
    </row>
    <row r="67" spans="1:3" ht="13.8">
      <c r="A67" s="17"/>
    </row>
    <row r="68" spans="1:3" ht="15.6">
      <c r="A68" s="26"/>
      <c r="C68" s="113"/>
    </row>
    <row r="69" spans="1:3" ht="13.8">
      <c r="A69" s="17"/>
    </row>
    <row r="70" spans="1:3" ht="15.6">
      <c r="A70" s="26"/>
      <c r="C70" s="113"/>
    </row>
    <row r="71" spans="1:3" ht="13.8">
      <c r="A71" s="17"/>
    </row>
    <row r="72" spans="1:3" ht="13.8">
      <c r="A72" s="17"/>
    </row>
    <row r="73" spans="1:3" ht="13.8">
      <c r="A73" s="17"/>
    </row>
    <row r="74" spans="1:3" ht="15.6">
      <c r="A74" s="117"/>
      <c r="C74" s="113"/>
    </row>
    <row r="75" spans="1:3" ht="13.8">
      <c r="A75" s="17"/>
    </row>
    <row r="76" spans="1:3" ht="15.6">
      <c r="A76" s="26"/>
      <c r="C76" s="113"/>
    </row>
    <row r="77" spans="1:3" ht="13.8">
      <c r="A77" s="17"/>
    </row>
    <row r="78" spans="1:3" ht="15.6">
      <c r="A78" s="26"/>
      <c r="C78" s="113"/>
    </row>
    <row r="79" spans="1:3" ht="13.8">
      <c r="A79" s="17"/>
    </row>
    <row r="80" spans="1:3" ht="15.6">
      <c r="A80" s="26"/>
      <c r="C80" s="113"/>
    </row>
    <row r="81" spans="1:3" ht="13.8">
      <c r="A81" s="17"/>
    </row>
    <row r="82" spans="1:3" ht="13.8">
      <c r="A82" s="17"/>
    </row>
    <row r="83" spans="1:3" ht="13.8">
      <c r="A83" s="17"/>
    </row>
    <row r="84" spans="1:3" ht="15.6">
      <c r="A84" s="26"/>
      <c r="C84" s="113"/>
    </row>
    <row r="85" spans="1:3" ht="13.8">
      <c r="A85" s="17"/>
    </row>
    <row r="86" spans="1:3" ht="15.6">
      <c r="A86" s="26"/>
      <c r="B86" s="113"/>
    </row>
    <row r="87" spans="1:3" ht="15.6">
      <c r="A87" s="26"/>
      <c r="C87" s="113"/>
    </row>
    <row r="88" spans="1:3" ht="13.8">
      <c r="A88" s="17"/>
    </row>
    <row r="89" spans="1:3" ht="15.6">
      <c r="A89" s="26"/>
      <c r="C89" s="113"/>
    </row>
    <row r="90" spans="1:3" ht="13.8">
      <c r="A90" s="17"/>
    </row>
    <row r="91" spans="1:3" ht="13.8">
      <c r="A91" s="17"/>
    </row>
    <row r="92" spans="1:3" ht="13.8">
      <c r="A92" s="17"/>
    </row>
    <row r="93" spans="1:3" ht="13.8">
      <c r="A93" s="17"/>
    </row>
    <row r="94" spans="1:3" ht="13.8">
      <c r="A94" s="17"/>
    </row>
    <row r="95" spans="1:3" ht="13.8">
      <c r="A95" s="17"/>
    </row>
    <row r="96" spans="1:3" ht="15.6">
      <c r="A96" s="26"/>
      <c r="C96" s="113"/>
    </row>
    <row r="97" spans="1:3" ht="13.8">
      <c r="A97" s="17"/>
    </row>
    <row r="98" spans="1:3" ht="13.8">
      <c r="A98" s="17"/>
    </row>
    <row r="99" spans="1:3" ht="13.8">
      <c r="A99" s="17"/>
    </row>
    <row r="100" spans="1:3" ht="13.8">
      <c r="A100" s="17"/>
    </row>
    <row r="101" spans="1:3" ht="15.6">
      <c r="A101" s="17"/>
      <c r="C101" s="113"/>
    </row>
    <row r="102" spans="1:3" ht="15.6">
      <c r="A102" s="26"/>
      <c r="C102" s="113"/>
    </row>
    <row r="103" spans="1:3" ht="15.6">
      <c r="A103" s="26"/>
      <c r="C103" s="113"/>
    </row>
    <row r="104" spans="1:3" ht="15.6">
      <c r="A104" s="26"/>
      <c r="C104" s="113"/>
    </row>
    <row r="105" spans="1:3" ht="13.8">
      <c r="A105" s="17"/>
    </row>
    <row r="106" spans="1:3" ht="13.8">
      <c r="A106" s="17"/>
    </row>
    <row r="107" spans="1:3" ht="15.6">
      <c r="A107" s="26"/>
      <c r="C107" s="113"/>
    </row>
    <row r="108" spans="1:3" ht="13.8">
      <c r="A108" s="17"/>
    </row>
    <row r="109" spans="1:3" ht="13.8">
      <c r="A109" s="17"/>
    </row>
    <row r="110" spans="1:3" ht="13.8">
      <c r="A110" s="17"/>
    </row>
    <row r="111" spans="1:3" ht="15.6">
      <c r="A111" s="26"/>
      <c r="C111" s="113"/>
    </row>
    <row r="112" spans="1:3" ht="13.8">
      <c r="A112" s="17"/>
    </row>
    <row r="113" spans="1:3" ht="15.6">
      <c r="A113" s="26"/>
      <c r="C113" s="113"/>
    </row>
    <row r="114" spans="1:3" ht="13.8">
      <c r="A114" s="17"/>
    </row>
    <row r="115" spans="1:3" ht="15.6">
      <c r="A115" s="26"/>
      <c r="C115" s="113"/>
    </row>
    <row r="116" spans="1:3" ht="15.6">
      <c r="A116" s="26"/>
      <c r="C116" s="113"/>
    </row>
    <row r="117" spans="1:3" ht="13.8">
      <c r="A117" s="17"/>
    </row>
    <row r="118" spans="1:3" ht="13.8">
      <c r="A118" s="17"/>
    </row>
    <row r="119" spans="1:3" ht="15.6">
      <c r="A119" s="26"/>
      <c r="C119" s="113"/>
    </row>
    <row r="120" spans="1:3" ht="13.8">
      <c r="A120" s="17"/>
    </row>
    <row r="121" spans="1:3" ht="15.6">
      <c r="A121" s="117"/>
      <c r="C121" s="113"/>
    </row>
    <row r="122" spans="1:3" ht="13.8">
      <c r="A122" s="17"/>
    </row>
    <row r="123" spans="1:3" ht="15.6">
      <c r="A123" s="26"/>
      <c r="C123" s="113"/>
    </row>
    <row r="124" spans="1:3" ht="15.6">
      <c r="A124" s="26"/>
      <c r="C124" s="113"/>
    </row>
    <row r="125" spans="1:3" ht="13.8">
      <c r="A125" s="17"/>
    </row>
    <row r="126" spans="1:3" ht="15.6">
      <c r="A126" s="26"/>
      <c r="C126" s="113"/>
    </row>
    <row r="127" spans="1:3" ht="13.8">
      <c r="A127" s="17"/>
    </row>
    <row r="128" spans="1:3" ht="13.8">
      <c r="A128" s="17"/>
    </row>
    <row r="129" spans="1:3" ht="15.6">
      <c r="A129" s="26"/>
      <c r="C129" s="113"/>
    </row>
    <row r="130" spans="1:3" ht="15.6">
      <c r="A130" s="26"/>
      <c r="C130" s="113"/>
    </row>
    <row r="131" spans="1:3" ht="13.8">
      <c r="A131" s="17"/>
    </row>
    <row r="132" spans="1:3" ht="13.8">
      <c r="A132" s="17"/>
    </row>
    <row r="133" spans="1:3" ht="13.8">
      <c r="A133" s="17"/>
    </row>
    <row r="134" spans="1:3" ht="13.8">
      <c r="A134" s="17"/>
    </row>
    <row r="135" spans="1:3" ht="15.6">
      <c r="A135" s="26"/>
      <c r="C135" s="113"/>
    </row>
    <row r="136" spans="1:3" ht="13.8">
      <c r="A136" s="17"/>
    </row>
    <row r="137" spans="1:3" ht="15.6">
      <c r="A137" s="26"/>
      <c r="C137" s="113"/>
    </row>
    <row r="138" spans="1:3" ht="13.8">
      <c r="A138" s="17"/>
    </row>
    <row r="139" spans="1:3" ht="15.6">
      <c r="A139" s="118"/>
      <c r="C139" s="113"/>
    </row>
    <row r="140" spans="1:3" ht="13.8">
      <c r="A140" s="17"/>
    </row>
    <row r="141" spans="1:3" ht="13.8">
      <c r="A141" s="17"/>
    </row>
    <row r="142" spans="1:3" ht="13.8">
      <c r="A142" s="17"/>
    </row>
    <row r="143" spans="1:3" ht="13.8">
      <c r="A143" s="17"/>
    </row>
    <row r="144" spans="1:3" ht="13.8">
      <c r="A144" s="17"/>
    </row>
    <row r="145" spans="1:3" ht="15.6">
      <c r="A145" s="26"/>
      <c r="C145" s="113"/>
    </row>
    <row r="146" spans="1:3" ht="15.6">
      <c r="A146" s="26"/>
      <c r="C146" s="113"/>
    </row>
    <row r="147" spans="1:3" ht="13.8">
      <c r="A147" s="17"/>
    </row>
    <row r="148" spans="1:3" ht="15.6">
      <c r="A148" s="26"/>
      <c r="C148" s="113"/>
    </row>
    <row r="149" spans="1:3" ht="13.8">
      <c r="A149" s="17"/>
    </row>
    <row r="150" spans="1:3" ht="15.6">
      <c r="A150" s="26"/>
      <c r="C150" s="113"/>
    </row>
    <row r="151" spans="1:3" ht="13.8">
      <c r="A151" s="17"/>
    </row>
    <row r="152" spans="1:3" ht="15.6">
      <c r="A152" s="26"/>
      <c r="C152" s="113"/>
    </row>
    <row r="153" spans="1:3" ht="13.8">
      <c r="A153" s="17"/>
    </row>
    <row r="154" spans="1:3" ht="13.8">
      <c r="A154" s="17"/>
    </row>
    <row r="155" spans="1:3" ht="13.8">
      <c r="A155" s="17"/>
    </row>
    <row r="156" spans="1:3" ht="13.8">
      <c r="A156" s="17"/>
    </row>
    <row r="157" spans="1:3" ht="13.8">
      <c r="A157" s="17"/>
    </row>
    <row r="158" spans="1:3" ht="13.8">
      <c r="A158" s="17"/>
    </row>
    <row r="159" spans="1:3" ht="13.8">
      <c r="A159" s="17"/>
    </row>
    <row r="160" spans="1:3" ht="13.8">
      <c r="A160" s="17"/>
    </row>
    <row r="161" spans="1:3" ht="15.6">
      <c r="A161" s="26"/>
      <c r="C161" s="113"/>
    </row>
    <row r="162" spans="1:3" ht="13.8">
      <c r="A162" s="17"/>
    </row>
    <row r="163" spans="1:3" ht="13.8">
      <c r="A163" s="17"/>
    </row>
    <row r="164" spans="1:3" ht="13.8">
      <c r="A164" s="17"/>
    </row>
    <row r="165" spans="1:3" ht="15.6">
      <c r="A165" s="26"/>
      <c r="C165" s="113"/>
    </row>
    <row r="166" spans="1:3" ht="15.6">
      <c r="A166" s="26"/>
      <c r="C166" s="113"/>
    </row>
    <row r="167" spans="1:3" ht="13.8">
      <c r="A167" s="17"/>
    </row>
    <row r="168" spans="1:3" ht="13.8">
      <c r="A168" s="17"/>
    </row>
    <row r="169" spans="1:3" ht="13.8">
      <c r="A169" s="17"/>
    </row>
    <row r="170" spans="1:3" ht="15.6">
      <c r="A170" s="26"/>
      <c r="C170" s="113"/>
    </row>
    <row r="171" spans="1:3" ht="13.8">
      <c r="A171" s="17"/>
    </row>
    <row r="172" spans="1:3" ht="15.6">
      <c r="A172" s="26"/>
      <c r="C172" s="113"/>
    </row>
    <row r="173" spans="1:3" ht="13.8">
      <c r="A173" s="17"/>
    </row>
    <row r="174" spans="1:3" ht="13.8">
      <c r="A174" s="17"/>
    </row>
    <row r="175" spans="1:3" ht="13.8">
      <c r="A175" s="17"/>
    </row>
    <row r="176" spans="1:3" ht="13.8">
      <c r="A176" s="17"/>
    </row>
    <row r="177" spans="1:1" ht="13.8">
      <c r="A177" s="17"/>
    </row>
    <row r="178" spans="1:1" ht="13.8">
      <c r="A178" s="17"/>
    </row>
    <row r="179" spans="1:1" ht="13.8">
      <c r="A179" s="17"/>
    </row>
    <row r="180" spans="1:1" ht="13.8">
      <c r="A180" s="17"/>
    </row>
    <row r="181" spans="1:1" ht="13.8">
      <c r="A181" s="17"/>
    </row>
    <row r="182" spans="1:1" ht="13.8">
      <c r="A182" s="17"/>
    </row>
    <row r="183" spans="1:1" ht="13.8">
      <c r="A183" s="17"/>
    </row>
    <row r="184" spans="1:1" ht="13.8">
      <c r="A184" s="17"/>
    </row>
    <row r="185" spans="1:1" ht="13.8">
      <c r="A185" s="17"/>
    </row>
    <row r="186" spans="1:1" ht="13.8">
      <c r="A186" s="17"/>
    </row>
    <row r="187" spans="1:1" ht="13.8">
      <c r="A187" s="17"/>
    </row>
    <row r="188" spans="1:1" ht="13.8">
      <c r="A188" s="17"/>
    </row>
    <row r="189" spans="1:1" ht="13.8">
      <c r="A189" s="17"/>
    </row>
    <row r="190" spans="1:1" ht="13.8">
      <c r="A190" s="17"/>
    </row>
    <row r="191" spans="1:1" ht="13.8">
      <c r="A191" s="17"/>
    </row>
    <row r="192" spans="1:1" ht="13.8">
      <c r="A192" s="17"/>
    </row>
    <row r="193" spans="1:1" ht="13.8">
      <c r="A193" s="17"/>
    </row>
    <row r="194" spans="1:1" ht="13.8">
      <c r="A194" s="17"/>
    </row>
    <row r="195" spans="1:1" ht="13.8">
      <c r="A195" s="17"/>
    </row>
    <row r="196" spans="1:1" ht="13.8">
      <c r="A196" s="17"/>
    </row>
    <row r="197" spans="1:1" ht="13.8">
      <c r="A197" s="17"/>
    </row>
    <row r="198" spans="1:1" ht="13.8">
      <c r="A198" s="17"/>
    </row>
    <row r="199" spans="1:1" ht="13.8">
      <c r="A199" s="17"/>
    </row>
    <row r="200" spans="1:1" ht="13.8">
      <c r="A200" s="17"/>
    </row>
    <row r="201" spans="1:1" ht="13.8">
      <c r="A201" s="17"/>
    </row>
    <row r="202" spans="1:1" ht="13.8">
      <c r="A202" s="17"/>
    </row>
    <row r="203" spans="1:1" ht="13.8">
      <c r="A203" s="17"/>
    </row>
    <row r="204" spans="1:1" ht="13.8">
      <c r="A204" s="17"/>
    </row>
    <row r="205" spans="1:1" ht="13.8">
      <c r="A205" s="17"/>
    </row>
    <row r="206" spans="1:1" ht="13.8">
      <c r="A206" s="17"/>
    </row>
    <row r="207" spans="1:1" ht="13.8">
      <c r="A207" s="17"/>
    </row>
    <row r="208" spans="1:1" ht="13.8">
      <c r="A208" s="17"/>
    </row>
    <row r="209" spans="1:1" ht="13.8">
      <c r="A209" s="17"/>
    </row>
    <row r="210" spans="1:1" ht="13.8">
      <c r="A210" s="17"/>
    </row>
    <row r="211" spans="1:1" ht="13.8">
      <c r="A211" s="17"/>
    </row>
    <row r="212" spans="1:1" ht="13.8">
      <c r="A212" s="17"/>
    </row>
    <row r="213" spans="1:1" ht="13.8">
      <c r="A213" s="17"/>
    </row>
    <row r="214" spans="1:1" ht="13.8">
      <c r="A214" s="17"/>
    </row>
    <row r="215" spans="1:1" ht="13.8">
      <c r="A215" s="17"/>
    </row>
    <row r="216" spans="1:1" ht="13.8">
      <c r="A216" s="17"/>
    </row>
    <row r="217" spans="1:1" ht="13.8">
      <c r="A217" s="17"/>
    </row>
    <row r="218" spans="1:1" ht="13.8">
      <c r="A218" s="17"/>
    </row>
    <row r="219" spans="1:1" ht="13.8">
      <c r="A219" s="17"/>
    </row>
    <row r="220" spans="1:1" ht="13.8">
      <c r="A220" s="17"/>
    </row>
    <row r="221" spans="1:1" ht="13.8">
      <c r="A221" s="17"/>
    </row>
    <row r="222" spans="1:1" ht="13.8">
      <c r="A222" s="17"/>
    </row>
    <row r="223" spans="1:1" ht="13.8">
      <c r="A223" s="17"/>
    </row>
    <row r="224" spans="1:1" ht="13.8">
      <c r="A224" s="17"/>
    </row>
    <row r="225" spans="1:1" ht="13.8">
      <c r="A225" s="17"/>
    </row>
    <row r="226" spans="1:1" ht="13.8">
      <c r="A226" s="17"/>
    </row>
    <row r="227" spans="1:1" ht="13.8">
      <c r="A227" s="17"/>
    </row>
    <row r="228" spans="1:1" ht="13.8">
      <c r="A228" s="17"/>
    </row>
    <row r="229" spans="1:1" ht="13.8">
      <c r="A229" s="17"/>
    </row>
    <row r="230" spans="1:1" ht="13.8">
      <c r="A230" s="17"/>
    </row>
    <row r="231" spans="1:1" ht="13.8">
      <c r="A231" s="17"/>
    </row>
    <row r="232" spans="1:1" ht="13.8">
      <c r="A232" s="17"/>
    </row>
    <row r="233" spans="1:1" ht="13.8">
      <c r="A233" s="17"/>
    </row>
    <row r="234" spans="1:1" ht="13.8">
      <c r="A234" s="17"/>
    </row>
    <row r="235" spans="1:1" ht="13.8">
      <c r="A235" s="17"/>
    </row>
    <row r="236" spans="1:1" ht="13.8">
      <c r="A236" s="17"/>
    </row>
    <row r="237" spans="1:1" ht="13.8">
      <c r="A237" s="17"/>
    </row>
    <row r="238" spans="1:1" ht="13.8">
      <c r="A238" s="17"/>
    </row>
    <row r="239" spans="1:1" ht="13.8">
      <c r="A239" s="17"/>
    </row>
    <row r="240" spans="1:1" ht="13.8">
      <c r="A240" s="17"/>
    </row>
    <row r="241" spans="1:1" ht="13.8">
      <c r="A241" s="17"/>
    </row>
    <row r="242" spans="1:1" ht="13.8">
      <c r="A242" s="17"/>
    </row>
    <row r="243" spans="1:1" ht="13.8">
      <c r="A243" s="17"/>
    </row>
    <row r="244" spans="1:1" ht="13.8">
      <c r="A244" s="17"/>
    </row>
    <row r="245" spans="1:1" ht="13.8">
      <c r="A245" s="17"/>
    </row>
    <row r="246" spans="1:1" ht="13.8">
      <c r="A246" s="17"/>
    </row>
    <row r="247" spans="1:1" ht="13.8">
      <c r="A247" s="17"/>
    </row>
    <row r="248" spans="1:1" ht="13.8">
      <c r="A248" s="17"/>
    </row>
    <row r="249" spans="1:1" ht="13.8">
      <c r="A249" s="17"/>
    </row>
    <row r="250" spans="1:1" ht="13.8">
      <c r="A250" s="17"/>
    </row>
    <row r="251" spans="1:1" ht="13.8">
      <c r="A251" s="17"/>
    </row>
    <row r="252" spans="1:1" ht="13.8">
      <c r="A252" s="17"/>
    </row>
    <row r="253" spans="1:1" ht="13.8">
      <c r="A253" s="17"/>
    </row>
    <row r="254" spans="1:1" ht="13.8">
      <c r="A254" s="17"/>
    </row>
    <row r="255" spans="1:1" ht="13.8">
      <c r="A255" s="17"/>
    </row>
    <row r="256" spans="1:1" ht="13.8">
      <c r="A256" s="17"/>
    </row>
    <row r="257" spans="1:1" ht="13.8">
      <c r="A257" s="17"/>
    </row>
    <row r="258" spans="1:1" ht="13.8">
      <c r="A258" s="17"/>
    </row>
    <row r="259" spans="1:1" ht="13.8">
      <c r="A259" s="17"/>
    </row>
    <row r="260" spans="1:1" ht="13.8">
      <c r="A260" s="17"/>
    </row>
    <row r="261" spans="1:1" ht="13.8">
      <c r="A261" s="17"/>
    </row>
    <row r="262" spans="1:1" ht="13.8">
      <c r="A262" s="17"/>
    </row>
    <row r="263" spans="1:1" ht="13.8">
      <c r="A263" s="17"/>
    </row>
    <row r="264" spans="1:1" ht="13.8">
      <c r="A264" s="17"/>
    </row>
    <row r="265" spans="1:1" ht="13.8">
      <c r="A265" s="17"/>
    </row>
    <row r="266" spans="1:1" ht="13.8">
      <c r="A266" s="17"/>
    </row>
    <row r="267" spans="1:1" ht="13.8">
      <c r="A267" s="17"/>
    </row>
    <row r="268" spans="1:1" ht="13.8">
      <c r="A268" s="17"/>
    </row>
    <row r="269" spans="1:1" ht="13.8">
      <c r="A269" s="17"/>
    </row>
    <row r="270" spans="1:1" ht="13.8">
      <c r="A270" s="17"/>
    </row>
    <row r="271" spans="1:1" ht="13.8">
      <c r="A271" s="17"/>
    </row>
    <row r="272" spans="1:1" ht="13.8">
      <c r="A272" s="17"/>
    </row>
    <row r="273" spans="1:1" ht="13.8">
      <c r="A273" s="17"/>
    </row>
    <row r="274" spans="1:1" ht="13.8">
      <c r="A274" s="17"/>
    </row>
    <row r="275" spans="1:1" ht="13.8">
      <c r="A275" s="17"/>
    </row>
    <row r="276" spans="1:1" ht="13.8">
      <c r="A276" s="17"/>
    </row>
    <row r="277" spans="1:1" ht="13.8">
      <c r="A277" s="17"/>
    </row>
    <row r="278" spans="1:1" ht="13.8">
      <c r="A278" s="17"/>
    </row>
    <row r="279" spans="1:1" ht="13.8">
      <c r="A279" s="17"/>
    </row>
    <row r="280" spans="1:1" ht="13.8">
      <c r="A280" s="17"/>
    </row>
    <row r="281" spans="1:1" ht="13.8">
      <c r="A281" s="17"/>
    </row>
    <row r="282" spans="1:1" ht="13.8">
      <c r="A282" s="17"/>
    </row>
    <row r="283" spans="1:1" ht="13.8">
      <c r="A283" s="17"/>
    </row>
    <row r="284" spans="1:1" ht="13.8">
      <c r="A284" s="17"/>
    </row>
    <row r="285" spans="1:1" ht="13.8">
      <c r="A285" s="17"/>
    </row>
    <row r="286" spans="1:1" ht="13.8">
      <c r="A286" s="17"/>
    </row>
    <row r="287" spans="1:1" ht="13.8">
      <c r="A287" s="17"/>
    </row>
    <row r="288" spans="1:1" ht="13.8">
      <c r="A288" s="17"/>
    </row>
    <row r="289" spans="1:1" ht="13.8">
      <c r="A289" s="17"/>
    </row>
    <row r="290" spans="1:1" ht="13.8">
      <c r="A290" s="17"/>
    </row>
    <row r="291" spans="1:1" ht="13.8">
      <c r="A291" s="17"/>
    </row>
    <row r="292" spans="1:1" ht="13.8">
      <c r="A292" s="17"/>
    </row>
    <row r="293" spans="1:1" ht="13.8">
      <c r="A293" s="17"/>
    </row>
    <row r="294" spans="1:1" ht="13.8">
      <c r="A294" s="17"/>
    </row>
    <row r="295" spans="1:1" ht="13.8">
      <c r="A295" s="17"/>
    </row>
    <row r="296" spans="1:1" ht="13.8">
      <c r="A296" s="17"/>
    </row>
    <row r="297" spans="1:1" ht="13.8">
      <c r="A297" s="17"/>
    </row>
    <row r="298" spans="1:1" ht="13.8">
      <c r="A298" s="17"/>
    </row>
    <row r="299" spans="1:1" ht="13.8">
      <c r="A299" s="17"/>
    </row>
    <row r="300" spans="1:1" ht="13.8">
      <c r="A300" s="17"/>
    </row>
    <row r="301" spans="1:1" ht="13.8">
      <c r="A301" s="17"/>
    </row>
    <row r="302" spans="1:1" ht="13.8">
      <c r="A302" s="17"/>
    </row>
    <row r="303" spans="1:1" ht="13.8">
      <c r="A303" s="17"/>
    </row>
    <row r="304" spans="1:1" ht="13.8">
      <c r="A304" s="17"/>
    </row>
    <row r="305" spans="1:1" ht="13.8">
      <c r="A305" s="17"/>
    </row>
    <row r="306" spans="1:1" ht="13.8">
      <c r="A306" s="17"/>
    </row>
    <row r="307" spans="1:1" ht="13.8">
      <c r="A307" s="17"/>
    </row>
    <row r="308" spans="1:1" ht="13.8">
      <c r="A308" s="17"/>
    </row>
    <row r="309" spans="1:1" ht="13.8">
      <c r="A309" s="17"/>
    </row>
    <row r="310" spans="1:1" ht="13.8">
      <c r="A310" s="17"/>
    </row>
    <row r="311" spans="1:1" ht="13.8">
      <c r="A311" s="17"/>
    </row>
    <row r="312" spans="1:1" ht="13.8">
      <c r="A312" s="17"/>
    </row>
    <row r="313" spans="1:1" ht="13.8">
      <c r="A313" s="17"/>
    </row>
    <row r="314" spans="1:1" ht="13.8">
      <c r="A314" s="17"/>
    </row>
    <row r="315" spans="1:1" ht="13.8">
      <c r="A315" s="17"/>
    </row>
    <row r="316" spans="1:1" ht="13.8">
      <c r="A316" s="17"/>
    </row>
    <row r="317" spans="1:1" ht="13.8">
      <c r="A317" s="17"/>
    </row>
    <row r="318" spans="1:1" ht="13.8">
      <c r="A318" s="17"/>
    </row>
    <row r="319" spans="1:1" ht="13.8">
      <c r="A319" s="17"/>
    </row>
    <row r="320" spans="1:1" ht="13.8">
      <c r="A320" s="17"/>
    </row>
    <row r="321" spans="1:1" ht="13.8">
      <c r="A321" s="17"/>
    </row>
    <row r="322" spans="1:1" ht="13.8">
      <c r="A322" s="17"/>
    </row>
    <row r="323" spans="1:1" ht="13.8">
      <c r="A323" s="17"/>
    </row>
    <row r="324" spans="1:1" ht="13.8">
      <c r="A324" s="17"/>
    </row>
    <row r="325" spans="1:1" ht="13.8">
      <c r="A325" s="17"/>
    </row>
    <row r="326" spans="1:1" ht="13.8">
      <c r="A326" s="17"/>
    </row>
    <row r="327" spans="1:1" ht="13.8">
      <c r="A327" s="17"/>
    </row>
    <row r="328" spans="1:1" ht="13.8">
      <c r="A328" s="17"/>
    </row>
    <row r="329" spans="1:1" ht="13.8">
      <c r="A329" s="17"/>
    </row>
    <row r="330" spans="1:1" ht="13.8">
      <c r="A330" s="17"/>
    </row>
    <row r="331" spans="1:1" ht="13.8">
      <c r="A331" s="17"/>
    </row>
    <row r="332" spans="1:1" ht="13.8">
      <c r="A332" s="17"/>
    </row>
    <row r="333" spans="1:1" ht="13.8">
      <c r="A333" s="17"/>
    </row>
    <row r="334" spans="1:1" ht="13.8">
      <c r="A334" s="17"/>
    </row>
    <row r="335" spans="1:1" ht="13.8">
      <c r="A335" s="17"/>
    </row>
    <row r="336" spans="1:1" ht="13.8">
      <c r="A336" s="17"/>
    </row>
    <row r="337" spans="1:1" ht="13.8">
      <c r="A337" s="17"/>
    </row>
    <row r="338" spans="1:1" ht="13.8">
      <c r="A338" s="17"/>
    </row>
    <row r="339" spans="1:1" ht="13.8">
      <c r="A339" s="17"/>
    </row>
    <row r="340" spans="1:1" ht="13.8">
      <c r="A340" s="17"/>
    </row>
    <row r="341" spans="1:1" ht="13.8">
      <c r="A341" s="17"/>
    </row>
    <row r="342" spans="1:1" ht="13.8">
      <c r="A342" s="17"/>
    </row>
    <row r="343" spans="1:1" ht="13.8">
      <c r="A343" s="17"/>
    </row>
    <row r="344" spans="1:1" ht="13.8">
      <c r="A344" s="17"/>
    </row>
    <row r="345" spans="1:1" ht="13.8">
      <c r="A345" s="17"/>
    </row>
    <row r="346" spans="1:1" ht="13.8">
      <c r="A346" s="17"/>
    </row>
    <row r="347" spans="1:1" ht="13.8">
      <c r="A347" s="17"/>
    </row>
    <row r="348" spans="1:1" ht="13.8">
      <c r="A348" s="17"/>
    </row>
    <row r="349" spans="1:1" ht="13.8">
      <c r="A349" s="17"/>
    </row>
    <row r="350" spans="1:1" ht="13.8">
      <c r="A350" s="17"/>
    </row>
    <row r="351" spans="1:1" ht="13.8">
      <c r="A351" s="17"/>
    </row>
    <row r="352" spans="1:1" ht="13.8">
      <c r="A352" s="17"/>
    </row>
    <row r="353" spans="1:1" ht="13.8">
      <c r="A353" s="17"/>
    </row>
    <row r="354" spans="1:1" ht="13.8">
      <c r="A354" s="17"/>
    </row>
    <row r="355" spans="1:1" ht="13.8">
      <c r="A355" s="17"/>
    </row>
    <row r="356" spans="1:1" ht="13.8">
      <c r="A356" s="17"/>
    </row>
    <row r="357" spans="1:1" ht="13.8">
      <c r="A357" s="17"/>
    </row>
    <row r="358" spans="1:1" ht="13.8">
      <c r="A358" s="17"/>
    </row>
    <row r="359" spans="1:1" ht="13.8">
      <c r="A359" s="17"/>
    </row>
    <row r="360" spans="1:1" ht="13.8">
      <c r="A360" s="17"/>
    </row>
    <row r="361" spans="1:1" ht="13.8">
      <c r="A361" s="17"/>
    </row>
    <row r="362" spans="1:1" ht="13.8">
      <c r="A362" s="17"/>
    </row>
    <row r="363" spans="1:1" ht="13.8">
      <c r="A363" s="17"/>
    </row>
    <row r="364" spans="1:1" ht="13.8">
      <c r="A364" s="17"/>
    </row>
    <row r="365" spans="1:1" ht="13.8">
      <c r="A365" s="17"/>
    </row>
    <row r="366" spans="1:1" ht="13.8">
      <c r="A366" s="17"/>
    </row>
    <row r="367" spans="1:1" ht="13.8">
      <c r="A367" s="17"/>
    </row>
    <row r="368" spans="1:1" ht="13.8">
      <c r="A368" s="17"/>
    </row>
    <row r="369" spans="1:1" ht="13.8">
      <c r="A369" s="17"/>
    </row>
    <row r="370" spans="1:1" ht="13.8">
      <c r="A370" s="17"/>
    </row>
    <row r="371" spans="1:1" ht="13.8">
      <c r="A371" s="17"/>
    </row>
    <row r="372" spans="1:1" ht="13.8">
      <c r="A372" s="17"/>
    </row>
    <row r="373" spans="1:1" ht="13.8">
      <c r="A373" s="17"/>
    </row>
    <row r="374" spans="1:1" ht="13.8">
      <c r="A374" s="17"/>
    </row>
    <row r="375" spans="1:1" ht="13.8">
      <c r="A375" s="17"/>
    </row>
    <row r="376" spans="1:1" ht="13.8">
      <c r="A376" s="17"/>
    </row>
    <row r="377" spans="1:1" ht="13.8">
      <c r="A377" s="17"/>
    </row>
    <row r="378" spans="1:1" ht="13.8">
      <c r="A378" s="17"/>
    </row>
    <row r="379" spans="1:1" ht="13.8">
      <c r="A379" s="17"/>
    </row>
    <row r="380" spans="1:1" ht="13.8">
      <c r="A380" s="17"/>
    </row>
    <row r="381" spans="1:1" ht="13.8">
      <c r="A381" s="17"/>
    </row>
    <row r="382" spans="1:1" ht="13.8">
      <c r="A382" s="17"/>
    </row>
    <row r="383" spans="1:1" ht="13.8">
      <c r="A383" s="17"/>
    </row>
    <row r="384" spans="1:1" ht="13.8">
      <c r="A384" s="17"/>
    </row>
    <row r="385" spans="1:1" ht="13.8">
      <c r="A385" s="17"/>
    </row>
    <row r="386" spans="1:1" ht="13.8">
      <c r="A386" s="17"/>
    </row>
    <row r="387" spans="1:1" ht="13.8">
      <c r="A387" s="17"/>
    </row>
    <row r="388" spans="1:1" ht="13.8">
      <c r="A388" s="17"/>
    </row>
    <row r="389" spans="1:1" ht="13.8">
      <c r="A389" s="17"/>
    </row>
    <row r="390" spans="1:1" ht="13.8">
      <c r="A390" s="17"/>
    </row>
    <row r="391" spans="1:1" ht="13.8">
      <c r="A391" s="17"/>
    </row>
    <row r="392" spans="1:1" ht="13.8">
      <c r="A392" s="17"/>
    </row>
    <row r="393" spans="1:1" ht="13.8">
      <c r="A393" s="17"/>
    </row>
    <row r="394" spans="1:1" ht="13.8">
      <c r="A394" s="17"/>
    </row>
    <row r="395" spans="1:1" ht="13.8">
      <c r="A395" s="17"/>
    </row>
    <row r="396" spans="1:1" ht="13.8">
      <c r="A396" s="17"/>
    </row>
    <row r="397" spans="1:1" ht="13.8">
      <c r="A397" s="17"/>
    </row>
    <row r="398" spans="1:1" ht="13.8">
      <c r="A398" s="17"/>
    </row>
    <row r="399" spans="1:1" ht="13.8">
      <c r="A399" s="17"/>
    </row>
    <row r="400" spans="1:1" ht="13.8">
      <c r="A400" s="17"/>
    </row>
    <row r="401" spans="1:1" ht="13.8">
      <c r="A401" s="17"/>
    </row>
    <row r="402" spans="1:1" ht="13.8">
      <c r="A402" s="17"/>
    </row>
    <row r="403" spans="1:1" ht="13.8">
      <c r="A403" s="17"/>
    </row>
    <row r="404" spans="1:1" ht="13.8">
      <c r="A404" s="17"/>
    </row>
    <row r="405" spans="1:1" ht="13.8">
      <c r="A405" s="17"/>
    </row>
    <row r="406" spans="1:1" ht="13.8">
      <c r="A406" s="17"/>
    </row>
    <row r="407" spans="1:1" ht="13.8">
      <c r="A407" s="17"/>
    </row>
    <row r="408" spans="1:1" ht="13.8">
      <c r="A408" s="17"/>
    </row>
    <row r="409" spans="1:1" ht="13.8">
      <c r="A409" s="17"/>
    </row>
    <row r="410" spans="1:1" ht="13.8">
      <c r="A410" s="17"/>
    </row>
    <row r="411" spans="1:1" ht="13.8">
      <c r="A411" s="17"/>
    </row>
    <row r="412" spans="1:1" ht="13.8">
      <c r="A412" s="17"/>
    </row>
    <row r="413" spans="1:1" ht="13.8">
      <c r="A413" s="17"/>
    </row>
    <row r="414" spans="1:1" ht="13.8">
      <c r="A414" s="17"/>
    </row>
    <row r="415" spans="1:1" ht="13.8">
      <c r="A415" s="17"/>
    </row>
    <row r="416" spans="1:1" ht="13.8">
      <c r="A416" s="17"/>
    </row>
    <row r="417" spans="1:1" ht="13.8">
      <c r="A417" s="17"/>
    </row>
    <row r="418" spans="1:1" ht="13.8">
      <c r="A418" s="17"/>
    </row>
    <row r="419" spans="1:1" ht="13.8">
      <c r="A419" s="17"/>
    </row>
    <row r="420" spans="1:1" ht="13.8">
      <c r="A420" s="17"/>
    </row>
    <row r="421" spans="1:1" ht="13.8">
      <c r="A421" s="17"/>
    </row>
    <row r="422" spans="1:1" ht="13.8">
      <c r="A422" s="17"/>
    </row>
    <row r="423" spans="1:1" ht="13.8">
      <c r="A423" s="17"/>
    </row>
    <row r="424" spans="1:1" ht="13.8">
      <c r="A424" s="17"/>
    </row>
    <row r="425" spans="1:1" ht="13.8">
      <c r="A425" s="17"/>
    </row>
    <row r="426" spans="1:1" ht="13.8">
      <c r="A426" s="17"/>
    </row>
    <row r="427" spans="1:1" ht="13.8">
      <c r="A427" s="17"/>
    </row>
    <row r="428" spans="1:1" ht="13.8">
      <c r="A428" s="17"/>
    </row>
    <row r="429" spans="1:1" ht="13.8">
      <c r="A429" s="17"/>
    </row>
    <row r="430" spans="1:1" ht="13.8">
      <c r="A430" s="17"/>
    </row>
    <row r="431" spans="1:1" ht="13.8">
      <c r="A431" s="17"/>
    </row>
    <row r="432" spans="1:1" ht="13.8">
      <c r="A432" s="17"/>
    </row>
    <row r="433" spans="1:1" ht="13.8">
      <c r="A433" s="17"/>
    </row>
    <row r="434" spans="1:1" ht="13.8">
      <c r="A434" s="17"/>
    </row>
    <row r="435" spans="1:1" ht="13.8">
      <c r="A435" s="17"/>
    </row>
    <row r="436" spans="1:1" ht="13.8">
      <c r="A436" s="17"/>
    </row>
    <row r="437" spans="1:1" ht="13.8">
      <c r="A437" s="17"/>
    </row>
    <row r="438" spans="1:1" ht="13.8">
      <c r="A438" s="17"/>
    </row>
    <row r="439" spans="1:1" ht="13.8">
      <c r="A439" s="17"/>
    </row>
    <row r="440" spans="1:1" ht="13.8">
      <c r="A440" s="17"/>
    </row>
    <row r="441" spans="1:1" ht="13.8">
      <c r="A441" s="17"/>
    </row>
    <row r="442" spans="1:1" ht="13.8">
      <c r="A442" s="17"/>
    </row>
    <row r="443" spans="1:1" ht="13.8">
      <c r="A443" s="17"/>
    </row>
    <row r="444" spans="1:1" ht="13.8">
      <c r="A444" s="17"/>
    </row>
    <row r="445" spans="1:1" ht="13.8">
      <c r="A445" s="17"/>
    </row>
    <row r="446" spans="1:1" ht="13.8">
      <c r="A446" s="17"/>
    </row>
    <row r="447" spans="1:1" ht="13.8">
      <c r="A447" s="17"/>
    </row>
    <row r="448" spans="1:1" ht="13.8">
      <c r="A448" s="17"/>
    </row>
    <row r="449" spans="1:1" ht="13.8">
      <c r="A449" s="17"/>
    </row>
    <row r="450" spans="1:1" ht="13.8">
      <c r="A450" s="17"/>
    </row>
    <row r="451" spans="1:1" ht="13.8">
      <c r="A451" s="17"/>
    </row>
    <row r="452" spans="1:1" ht="13.8">
      <c r="A452" s="17"/>
    </row>
    <row r="453" spans="1:1" ht="13.8">
      <c r="A453" s="17"/>
    </row>
    <row r="454" spans="1:1" ht="13.8">
      <c r="A454" s="17"/>
    </row>
    <row r="455" spans="1:1" ht="13.8">
      <c r="A455" s="17"/>
    </row>
    <row r="456" spans="1:1" ht="13.8">
      <c r="A456" s="17"/>
    </row>
    <row r="457" spans="1:1" ht="13.8">
      <c r="A457" s="17"/>
    </row>
    <row r="458" spans="1:1" ht="13.8">
      <c r="A458" s="17"/>
    </row>
    <row r="459" spans="1:1" ht="13.8">
      <c r="A459" s="17"/>
    </row>
    <row r="460" spans="1:1" ht="13.8">
      <c r="A460" s="17"/>
    </row>
    <row r="461" spans="1:1" ht="13.8">
      <c r="A461" s="17"/>
    </row>
    <row r="462" spans="1:1" ht="13.8">
      <c r="A462" s="17"/>
    </row>
    <row r="463" spans="1:1" ht="13.8">
      <c r="A463" s="17"/>
    </row>
    <row r="464" spans="1:1" ht="13.8">
      <c r="A464" s="17"/>
    </row>
    <row r="465" spans="1:1" ht="13.8">
      <c r="A465" s="17"/>
    </row>
    <row r="466" spans="1:1" ht="13.8">
      <c r="A466" s="17"/>
    </row>
    <row r="467" spans="1:1" ht="13.8">
      <c r="A467" s="17"/>
    </row>
    <row r="468" spans="1:1" ht="13.8">
      <c r="A468" s="17"/>
    </row>
    <row r="469" spans="1:1" ht="13.8">
      <c r="A469" s="17"/>
    </row>
    <row r="470" spans="1:1" ht="13.8">
      <c r="A470" s="17"/>
    </row>
    <row r="471" spans="1:1" ht="13.8">
      <c r="A471" s="17"/>
    </row>
    <row r="472" spans="1:1" ht="13.8">
      <c r="A472" s="17"/>
    </row>
    <row r="473" spans="1:1" ht="13.8">
      <c r="A473" s="17"/>
    </row>
    <row r="474" spans="1:1" ht="13.8">
      <c r="A474" s="17"/>
    </row>
    <row r="475" spans="1:1" ht="13.8">
      <c r="A475" s="17"/>
    </row>
    <row r="476" spans="1:1" ht="13.8">
      <c r="A476" s="17"/>
    </row>
    <row r="477" spans="1:1" ht="13.8">
      <c r="A477" s="17"/>
    </row>
    <row r="478" spans="1:1" ht="13.8">
      <c r="A478" s="17"/>
    </row>
    <row r="479" spans="1:1" ht="13.8">
      <c r="A479" s="17"/>
    </row>
    <row r="480" spans="1:1" ht="13.8">
      <c r="A480" s="17"/>
    </row>
    <row r="481" spans="1:1" ht="13.8">
      <c r="A481" s="17"/>
    </row>
    <row r="482" spans="1:1" ht="13.8">
      <c r="A482" s="17"/>
    </row>
    <row r="483" spans="1:1" ht="13.8">
      <c r="A483" s="17"/>
    </row>
    <row r="484" spans="1:1" ht="13.8">
      <c r="A484" s="17"/>
    </row>
    <row r="485" spans="1:1" ht="13.8">
      <c r="A485" s="17"/>
    </row>
    <row r="486" spans="1:1" ht="13.8">
      <c r="A486" s="17"/>
    </row>
    <row r="487" spans="1:1" ht="13.8">
      <c r="A487" s="17"/>
    </row>
    <row r="488" spans="1:1" ht="13.8">
      <c r="A488" s="17"/>
    </row>
    <row r="489" spans="1:1" ht="13.8">
      <c r="A489" s="17"/>
    </row>
    <row r="490" spans="1:1" ht="13.8">
      <c r="A490" s="17"/>
    </row>
    <row r="491" spans="1:1" ht="13.8">
      <c r="A491" s="17"/>
    </row>
    <row r="492" spans="1:1" ht="13.8">
      <c r="A492" s="17"/>
    </row>
    <row r="493" spans="1:1" ht="13.8">
      <c r="A493" s="17"/>
    </row>
    <row r="494" spans="1:1" ht="13.8">
      <c r="A494" s="17"/>
    </row>
    <row r="495" spans="1:1" ht="13.8">
      <c r="A495" s="17"/>
    </row>
    <row r="496" spans="1:1" ht="13.8">
      <c r="A496" s="17"/>
    </row>
    <row r="497" spans="1:1" ht="13.8">
      <c r="A497" s="17"/>
    </row>
    <row r="498" spans="1:1" ht="13.8">
      <c r="A498" s="17"/>
    </row>
    <row r="499" spans="1:1" ht="13.8">
      <c r="A499" s="17"/>
    </row>
    <row r="500" spans="1:1" ht="13.8">
      <c r="A500" s="17"/>
    </row>
    <row r="501" spans="1:1" ht="13.8">
      <c r="A501" s="17"/>
    </row>
    <row r="502" spans="1:1" ht="13.8">
      <c r="A502" s="17"/>
    </row>
    <row r="503" spans="1:1" ht="13.8">
      <c r="A503" s="17"/>
    </row>
    <row r="504" spans="1:1" ht="13.8">
      <c r="A504" s="17"/>
    </row>
    <row r="505" spans="1:1" ht="13.8">
      <c r="A505" s="17"/>
    </row>
    <row r="506" spans="1:1" ht="13.8">
      <c r="A506" s="17"/>
    </row>
    <row r="507" spans="1:1" ht="13.8">
      <c r="A507" s="17"/>
    </row>
    <row r="508" spans="1:1" ht="13.8">
      <c r="A508" s="17"/>
    </row>
    <row r="509" spans="1:1" ht="13.8">
      <c r="A509" s="17"/>
    </row>
    <row r="510" spans="1:1" ht="13.8">
      <c r="A510" s="17"/>
    </row>
    <row r="511" spans="1:1" ht="13.8">
      <c r="A511" s="17"/>
    </row>
    <row r="512" spans="1:1" ht="13.8">
      <c r="A512" s="17"/>
    </row>
    <row r="513" spans="1:1" ht="13.8">
      <c r="A513" s="17"/>
    </row>
    <row r="514" spans="1:1" ht="13.8">
      <c r="A514" s="17"/>
    </row>
    <row r="515" spans="1:1" ht="13.8">
      <c r="A515" s="17"/>
    </row>
    <row r="516" spans="1:1" ht="13.8">
      <c r="A516" s="17"/>
    </row>
    <row r="517" spans="1:1" ht="13.8">
      <c r="A517" s="17"/>
    </row>
    <row r="518" spans="1:1" ht="13.8">
      <c r="A518" s="17"/>
    </row>
    <row r="519" spans="1:1" ht="13.8">
      <c r="A519" s="17"/>
    </row>
    <row r="520" spans="1:1" ht="13.8">
      <c r="A520" s="17"/>
    </row>
    <row r="521" spans="1:1" ht="13.8">
      <c r="A521" s="17"/>
    </row>
    <row r="522" spans="1:1" ht="13.8">
      <c r="A522" s="17"/>
    </row>
    <row r="523" spans="1:1" ht="13.8">
      <c r="A523" s="17"/>
    </row>
    <row r="524" spans="1:1" ht="13.8">
      <c r="A524" s="17"/>
    </row>
    <row r="525" spans="1:1" ht="13.8">
      <c r="A525" s="17"/>
    </row>
    <row r="526" spans="1:1" ht="13.8">
      <c r="A526" s="17"/>
    </row>
    <row r="527" spans="1:1" ht="13.8">
      <c r="A527" s="17"/>
    </row>
    <row r="528" spans="1:1" ht="13.8">
      <c r="A528" s="17"/>
    </row>
    <row r="529" spans="1:1" ht="13.8">
      <c r="A529" s="17"/>
    </row>
    <row r="530" spans="1:1" ht="13.8">
      <c r="A530" s="17"/>
    </row>
    <row r="531" spans="1:1" ht="13.8">
      <c r="A531" s="17"/>
    </row>
    <row r="532" spans="1:1" ht="13.8">
      <c r="A532" s="17"/>
    </row>
    <row r="533" spans="1:1" ht="13.8">
      <c r="A533" s="17"/>
    </row>
    <row r="534" spans="1:1" ht="13.8">
      <c r="A534" s="17"/>
    </row>
    <row r="535" spans="1:1" ht="13.8">
      <c r="A535" s="17"/>
    </row>
    <row r="536" spans="1:1" ht="13.8">
      <c r="A536" s="17"/>
    </row>
    <row r="537" spans="1:1" ht="13.8">
      <c r="A537" s="17"/>
    </row>
    <row r="538" spans="1:1" ht="13.8">
      <c r="A538" s="17"/>
    </row>
    <row r="539" spans="1:1" ht="13.8">
      <c r="A539" s="17"/>
    </row>
    <row r="540" spans="1:1" ht="13.8">
      <c r="A540" s="17"/>
    </row>
    <row r="541" spans="1:1" ht="13.8">
      <c r="A541" s="17"/>
    </row>
    <row r="542" spans="1:1" ht="13.8">
      <c r="A542" s="17"/>
    </row>
    <row r="543" spans="1:1" ht="13.8">
      <c r="A543" s="17"/>
    </row>
    <row r="544" spans="1:1" ht="13.8">
      <c r="A544" s="17"/>
    </row>
    <row r="545" spans="1:1" ht="13.8">
      <c r="A545" s="17"/>
    </row>
    <row r="546" spans="1:1" ht="13.8">
      <c r="A546" s="17"/>
    </row>
    <row r="547" spans="1:1" ht="13.8">
      <c r="A547" s="17"/>
    </row>
    <row r="548" spans="1:1" ht="13.8">
      <c r="A548" s="17"/>
    </row>
    <row r="549" spans="1:1" ht="13.8">
      <c r="A549" s="17"/>
    </row>
    <row r="550" spans="1:1" ht="13.8">
      <c r="A550" s="17"/>
    </row>
    <row r="551" spans="1:1" ht="13.8">
      <c r="A551" s="17"/>
    </row>
    <row r="552" spans="1:1" ht="13.8">
      <c r="A552" s="17"/>
    </row>
    <row r="553" spans="1:1" ht="13.8">
      <c r="A553" s="17"/>
    </row>
    <row r="554" spans="1:1" ht="13.8">
      <c r="A554" s="17"/>
    </row>
    <row r="555" spans="1:1" ht="13.8">
      <c r="A555" s="17"/>
    </row>
    <row r="556" spans="1:1" ht="13.8">
      <c r="A556" s="17"/>
    </row>
    <row r="557" spans="1:1" ht="13.8">
      <c r="A557" s="17"/>
    </row>
    <row r="558" spans="1:1" ht="13.8">
      <c r="A558" s="17"/>
    </row>
    <row r="559" spans="1:1" ht="13.8">
      <c r="A559" s="17"/>
    </row>
    <row r="560" spans="1:1" ht="13.8">
      <c r="A560" s="17"/>
    </row>
    <row r="561" spans="1:1" ht="13.8">
      <c r="A561" s="17"/>
    </row>
    <row r="562" spans="1:1" ht="13.8">
      <c r="A562" s="17"/>
    </row>
    <row r="563" spans="1:1" ht="13.8">
      <c r="A563" s="17"/>
    </row>
    <row r="564" spans="1:1" ht="13.8">
      <c r="A564" s="17"/>
    </row>
    <row r="565" spans="1:1" ht="13.8">
      <c r="A565" s="17"/>
    </row>
    <row r="566" spans="1:1" ht="13.8">
      <c r="A566" s="17"/>
    </row>
    <row r="567" spans="1:1" ht="13.8">
      <c r="A567" s="17"/>
    </row>
    <row r="568" spans="1:1" ht="13.8">
      <c r="A568" s="17"/>
    </row>
    <row r="569" spans="1:1" ht="13.8">
      <c r="A569" s="17"/>
    </row>
    <row r="570" spans="1:1" ht="13.8">
      <c r="A570" s="17"/>
    </row>
    <row r="571" spans="1:1" ht="13.8">
      <c r="A571" s="17"/>
    </row>
    <row r="572" spans="1:1" ht="13.8">
      <c r="A572" s="17"/>
    </row>
    <row r="573" spans="1:1" ht="13.8">
      <c r="A573" s="17"/>
    </row>
    <row r="574" spans="1:1" ht="13.8">
      <c r="A574" s="17"/>
    </row>
    <row r="575" spans="1:1" ht="13.8">
      <c r="A575" s="17"/>
    </row>
    <row r="576" spans="1:1" ht="13.8">
      <c r="A576" s="17"/>
    </row>
    <row r="577" spans="1:1" ht="13.8">
      <c r="A577" s="17"/>
    </row>
    <row r="578" spans="1:1" ht="13.8">
      <c r="A578" s="17"/>
    </row>
    <row r="579" spans="1:1" ht="13.8">
      <c r="A579" s="17"/>
    </row>
    <row r="580" spans="1:1" ht="13.8">
      <c r="A580" s="17"/>
    </row>
    <row r="581" spans="1:1" ht="13.8">
      <c r="A581" s="17"/>
    </row>
    <row r="582" spans="1:1" ht="13.8">
      <c r="A582" s="17"/>
    </row>
    <row r="583" spans="1:1" ht="13.8">
      <c r="A583" s="17"/>
    </row>
    <row r="584" spans="1:1" ht="13.8">
      <c r="A584" s="17"/>
    </row>
    <row r="585" spans="1:1" ht="13.8">
      <c r="A585" s="17"/>
    </row>
    <row r="586" spans="1:1" ht="13.8">
      <c r="A586" s="17"/>
    </row>
    <row r="587" spans="1:1" ht="13.8">
      <c r="A587" s="17"/>
    </row>
    <row r="588" spans="1:1" ht="13.8">
      <c r="A588" s="17"/>
    </row>
    <row r="589" spans="1:1" ht="13.8">
      <c r="A589" s="17"/>
    </row>
    <row r="590" spans="1:1" ht="13.8">
      <c r="A590" s="17"/>
    </row>
    <row r="591" spans="1:1" ht="13.8">
      <c r="A591" s="17"/>
    </row>
    <row r="592" spans="1:1" ht="13.8">
      <c r="A592" s="17"/>
    </row>
    <row r="593" spans="1:1" ht="13.8">
      <c r="A593" s="17"/>
    </row>
    <row r="594" spans="1:1" ht="13.8">
      <c r="A594" s="17"/>
    </row>
    <row r="595" spans="1:1" ht="13.8">
      <c r="A595" s="17"/>
    </row>
    <row r="596" spans="1:1" ht="13.8">
      <c r="A596" s="17"/>
    </row>
    <row r="597" spans="1:1" ht="13.8">
      <c r="A597" s="17"/>
    </row>
    <row r="598" spans="1:1" ht="13.8">
      <c r="A598" s="17"/>
    </row>
    <row r="599" spans="1:1" ht="13.8">
      <c r="A599" s="17"/>
    </row>
    <row r="600" spans="1:1" ht="13.8">
      <c r="A600" s="17"/>
    </row>
    <row r="601" spans="1:1" ht="13.8">
      <c r="A601" s="17"/>
    </row>
    <row r="602" spans="1:1" ht="13.8">
      <c r="A602" s="17"/>
    </row>
    <row r="603" spans="1:1" ht="13.8">
      <c r="A603" s="17"/>
    </row>
    <row r="604" spans="1:1" ht="13.8">
      <c r="A604" s="17"/>
    </row>
    <row r="605" spans="1:1" ht="13.8">
      <c r="A605" s="17"/>
    </row>
    <row r="606" spans="1:1" ht="13.8">
      <c r="A606" s="17"/>
    </row>
    <row r="607" spans="1:1" ht="13.8">
      <c r="A607" s="17"/>
    </row>
    <row r="608" spans="1:1" ht="13.8">
      <c r="A608" s="17"/>
    </row>
    <row r="609" spans="1:1" ht="13.8">
      <c r="A609" s="17"/>
    </row>
    <row r="610" spans="1:1" ht="13.8">
      <c r="A610" s="17"/>
    </row>
    <row r="611" spans="1:1" ht="13.8">
      <c r="A611" s="17"/>
    </row>
    <row r="612" spans="1:1" ht="13.8">
      <c r="A612" s="17"/>
    </row>
    <row r="613" spans="1:1" ht="13.8">
      <c r="A613" s="17"/>
    </row>
    <row r="614" spans="1:1" ht="13.8">
      <c r="A614" s="17"/>
    </row>
    <row r="615" spans="1:1" ht="13.8">
      <c r="A615" s="17"/>
    </row>
    <row r="616" spans="1:1" ht="13.8">
      <c r="A616" s="17"/>
    </row>
    <row r="617" spans="1:1" ht="13.8">
      <c r="A617" s="17"/>
    </row>
    <row r="618" spans="1:1" ht="13.8">
      <c r="A618" s="17"/>
    </row>
    <row r="619" spans="1:1" ht="13.8">
      <c r="A619" s="17"/>
    </row>
    <row r="620" spans="1:1" ht="13.8">
      <c r="A620" s="17"/>
    </row>
    <row r="621" spans="1:1" ht="13.8">
      <c r="A621" s="17"/>
    </row>
    <row r="622" spans="1:1" ht="13.8">
      <c r="A622" s="17"/>
    </row>
    <row r="623" spans="1:1" ht="13.8">
      <c r="A623" s="17"/>
    </row>
    <row r="624" spans="1:1" ht="13.8">
      <c r="A624" s="17"/>
    </row>
    <row r="625" spans="1:1" ht="13.8">
      <c r="A625" s="17"/>
    </row>
    <row r="626" spans="1:1" ht="13.8">
      <c r="A626" s="17"/>
    </row>
    <row r="627" spans="1:1" ht="13.8">
      <c r="A627" s="17"/>
    </row>
    <row r="628" spans="1:1" ht="13.8">
      <c r="A628" s="17"/>
    </row>
    <row r="629" spans="1:1" ht="13.8">
      <c r="A629" s="17"/>
    </row>
    <row r="630" spans="1:1" ht="13.8">
      <c r="A630" s="17"/>
    </row>
    <row r="631" spans="1:1" ht="13.8">
      <c r="A631" s="17"/>
    </row>
    <row r="632" spans="1:1" ht="13.8">
      <c r="A632" s="17"/>
    </row>
    <row r="633" spans="1:1" ht="13.8">
      <c r="A633" s="17"/>
    </row>
    <row r="634" spans="1:1" ht="13.8">
      <c r="A634" s="17"/>
    </row>
    <row r="635" spans="1:1" ht="13.8">
      <c r="A635" s="17"/>
    </row>
    <row r="636" spans="1:1" ht="13.8">
      <c r="A636" s="17"/>
    </row>
    <row r="637" spans="1:1" ht="13.8">
      <c r="A637" s="17"/>
    </row>
    <row r="638" spans="1:1" ht="13.8">
      <c r="A638" s="17"/>
    </row>
    <row r="639" spans="1:1" ht="13.8">
      <c r="A639" s="17"/>
    </row>
    <row r="640" spans="1:1" ht="13.8">
      <c r="A640" s="17"/>
    </row>
    <row r="641" spans="1:1" ht="13.8">
      <c r="A641" s="17"/>
    </row>
    <row r="642" spans="1:1" ht="13.8">
      <c r="A642" s="17"/>
    </row>
    <row r="643" spans="1:1" ht="13.8">
      <c r="A643" s="17"/>
    </row>
    <row r="644" spans="1:1" ht="13.8">
      <c r="A644" s="17"/>
    </row>
    <row r="645" spans="1:1" ht="13.8">
      <c r="A645" s="17"/>
    </row>
    <row r="646" spans="1:1" ht="13.8">
      <c r="A646" s="17"/>
    </row>
    <row r="647" spans="1:1" ht="13.8">
      <c r="A647" s="17"/>
    </row>
    <row r="648" spans="1:1" ht="13.8">
      <c r="A648" s="17"/>
    </row>
    <row r="649" spans="1:1" ht="13.8">
      <c r="A649" s="17"/>
    </row>
    <row r="650" spans="1:1" ht="13.8">
      <c r="A650" s="17"/>
    </row>
    <row r="651" spans="1:1" ht="13.8">
      <c r="A651" s="17"/>
    </row>
    <row r="652" spans="1:1" ht="13.8">
      <c r="A652" s="17"/>
    </row>
    <row r="653" spans="1:1" ht="13.8">
      <c r="A653" s="17"/>
    </row>
    <row r="654" spans="1:1" ht="13.8">
      <c r="A654" s="17"/>
    </row>
    <row r="655" spans="1:1" ht="13.8">
      <c r="A655" s="17"/>
    </row>
    <row r="656" spans="1:1" ht="13.8">
      <c r="A656" s="17"/>
    </row>
    <row r="657" spans="1:1" ht="13.8">
      <c r="A657" s="17"/>
    </row>
    <row r="658" spans="1:1" ht="13.8">
      <c r="A658" s="17"/>
    </row>
    <row r="659" spans="1:1" ht="13.8">
      <c r="A659" s="17"/>
    </row>
    <row r="660" spans="1:1" ht="13.8">
      <c r="A660" s="17"/>
    </row>
    <row r="661" spans="1:1" ht="13.8">
      <c r="A661" s="17"/>
    </row>
    <row r="662" spans="1:1" ht="13.8">
      <c r="A662" s="17"/>
    </row>
    <row r="663" spans="1:1" ht="13.8">
      <c r="A663" s="17"/>
    </row>
    <row r="664" spans="1:1" ht="13.8">
      <c r="A664" s="17"/>
    </row>
    <row r="665" spans="1:1" ht="13.8">
      <c r="A665" s="17"/>
    </row>
    <row r="666" spans="1:1" ht="13.8">
      <c r="A666" s="17"/>
    </row>
    <row r="667" spans="1:1" ht="13.8">
      <c r="A667" s="17"/>
    </row>
    <row r="668" spans="1:1" ht="13.8">
      <c r="A668" s="17"/>
    </row>
    <row r="669" spans="1:1" ht="13.8">
      <c r="A669" s="17"/>
    </row>
    <row r="670" spans="1:1" ht="13.8">
      <c r="A670" s="17"/>
    </row>
    <row r="671" spans="1:1" ht="13.8">
      <c r="A671" s="17"/>
    </row>
    <row r="672" spans="1:1" ht="13.8">
      <c r="A672" s="17"/>
    </row>
    <row r="673" spans="1:1" ht="13.8">
      <c r="A673" s="17"/>
    </row>
    <row r="674" spans="1:1" ht="13.8">
      <c r="A674" s="17"/>
    </row>
    <row r="675" spans="1:1" ht="13.8">
      <c r="A675" s="17"/>
    </row>
    <row r="676" spans="1:1" ht="13.8">
      <c r="A676" s="17"/>
    </row>
    <row r="677" spans="1:1" ht="13.8">
      <c r="A677" s="17"/>
    </row>
    <row r="678" spans="1:1" ht="13.8">
      <c r="A678" s="17"/>
    </row>
    <row r="679" spans="1:1" ht="13.8">
      <c r="A679" s="17"/>
    </row>
    <row r="680" spans="1:1" ht="13.8">
      <c r="A680" s="17"/>
    </row>
    <row r="681" spans="1:1" ht="13.8">
      <c r="A681" s="17"/>
    </row>
    <row r="682" spans="1:1" ht="13.8">
      <c r="A682" s="17"/>
    </row>
    <row r="683" spans="1:1" ht="13.8">
      <c r="A683" s="17"/>
    </row>
    <row r="684" spans="1:1" ht="13.8">
      <c r="A684" s="17"/>
    </row>
    <row r="685" spans="1:1" ht="13.8">
      <c r="A685" s="17"/>
    </row>
    <row r="686" spans="1:1" ht="13.8">
      <c r="A686" s="17"/>
    </row>
    <row r="687" spans="1:1" ht="13.8">
      <c r="A687" s="17"/>
    </row>
    <row r="688" spans="1:1" ht="13.8">
      <c r="A688" s="17"/>
    </row>
    <row r="689" spans="1:1" ht="13.8">
      <c r="A689" s="17"/>
    </row>
    <row r="690" spans="1:1" ht="13.8">
      <c r="A690" s="17"/>
    </row>
    <row r="691" spans="1:1" ht="13.8">
      <c r="A691" s="17"/>
    </row>
    <row r="692" spans="1:1" ht="13.8">
      <c r="A692" s="17"/>
    </row>
    <row r="693" spans="1:1" ht="13.8">
      <c r="A693" s="17"/>
    </row>
    <row r="694" spans="1:1" ht="13.8">
      <c r="A694" s="17"/>
    </row>
    <row r="695" spans="1:1" ht="13.8">
      <c r="A695" s="17"/>
    </row>
    <row r="696" spans="1:1" ht="13.8">
      <c r="A696" s="17"/>
    </row>
    <row r="697" spans="1:1" ht="13.8">
      <c r="A697" s="17"/>
    </row>
    <row r="698" spans="1:1" ht="13.8">
      <c r="A698" s="17"/>
    </row>
    <row r="699" spans="1:1" ht="13.8">
      <c r="A699" s="17"/>
    </row>
    <row r="700" spans="1:1" ht="13.8">
      <c r="A700" s="17"/>
    </row>
    <row r="701" spans="1:1" ht="13.8">
      <c r="A701" s="17"/>
    </row>
    <row r="702" spans="1:1" ht="13.8">
      <c r="A702" s="17"/>
    </row>
    <row r="703" spans="1:1" ht="13.8">
      <c r="A703" s="17"/>
    </row>
    <row r="704" spans="1:1" ht="13.8">
      <c r="A704" s="17"/>
    </row>
    <row r="705" spans="1:1" ht="13.8">
      <c r="A705" s="17"/>
    </row>
    <row r="706" spans="1:1" ht="13.8">
      <c r="A706" s="17"/>
    </row>
    <row r="707" spans="1:1" ht="13.8">
      <c r="A707" s="17"/>
    </row>
    <row r="708" spans="1:1" ht="13.8">
      <c r="A708" s="17"/>
    </row>
    <row r="709" spans="1:1" ht="13.8">
      <c r="A709" s="17"/>
    </row>
    <row r="710" spans="1:1" ht="13.8">
      <c r="A710" s="17"/>
    </row>
    <row r="711" spans="1:1" ht="13.8">
      <c r="A711" s="17"/>
    </row>
    <row r="712" spans="1:1" ht="13.8">
      <c r="A712" s="17"/>
    </row>
    <row r="713" spans="1:1" ht="13.8">
      <c r="A713" s="17"/>
    </row>
    <row r="714" spans="1:1" ht="13.8">
      <c r="A714" s="17"/>
    </row>
    <row r="715" spans="1:1" ht="13.8">
      <c r="A715" s="17"/>
    </row>
    <row r="716" spans="1:1" ht="13.8">
      <c r="A716" s="17"/>
    </row>
    <row r="717" spans="1:1" ht="13.8">
      <c r="A717" s="17"/>
    </row>
    <row r="718" spans="1:1" ht="13.8">
      <c r="A718" s="17"/>
    </row>
    <row r="719" spans="1:1" ht="13.8">
      <c r="A719" s="17"/>
    </row>
    <row r="720" spans="1:1" ht="13.8">
      <c r="A720" s="17"/>
    </row>
    <row r="721" spans="1:1" ht="13.8">
      <c r="A721" s="17"/>
    </row>
    <row r="722" spans="1:1" ht="13.8">
      <c r="A722" s="17"/>
    </row>
    <row r="723" spans="1:1" ht="13.8">
      <c r="A723" s="17"/>
    </row>
    <row r="724" spans="1:1" ht="13.8">
      <c r="A724" s="17"/>
    </row>
    <row r="725" spans="1:1" ht="13.8">
      <c r="A725" s="17"/>
    </row>
    <row r="726" spans="1:1" ht="13.8">
      <c r="A726" s="17"/>
    </row>
    <row r="727" spans="1:1" ht="13.8">
      <c r="A727" s="17"/>
    </row>
    <row r="728" spans="1:1" ht="13.8">
      <c r="A728" s="17"/>
    </row>
    <row r="729" spans="1:1" ht="13.8">
      <c r="A729" s="17"/>
    </row>
    <row r="730" spans="1:1" ht="13.8">
      <c r="A730" s="17"/>
    </row>
    <row r="731" spans="1:1" ht="13.8">
      <c r="A731" s="17"/>
    </row>
    <row r="732" spans="1:1" ht="13.8">
      <c r="A732" s="17"/>
    </row>
    <row r="733" spans="1:1" ht="13.8">
      <c r="A733" s="17"/>
    </row>
    <row r="734" spans="1:1" ht="13.8">
      <c r="A734" s="17"/>
    </row>
    <row r="735" spans="1:1" ht="13.8">
      <c r="A735" s="17"/>
    </row>
    <row r="736" spans="1:1" ht="13.8">
      <c r="A736" s="17"/>
    </row>
    <row r="737" spans="1:1" ht="13.8">
      <c r="A737" s="17"/>
    </row>
    <row r="738" spans="1:1" ht="13.8">
      <c r="A738" s="17"/>
    </row>
    <row r="739" spans="1:1" ht="13.8">
      <c r="A739" s="17"/>
    </row>
    <row r="740" spans="1:1" ht="13.8">
      <c r="A740" s="17"/>
    </row>
    <row r="741" spans="1:1" ht="13.8">
      <c r="A741" s="17"/>
    </row>
    <row r="742" spans="1:1" ht="13.8">
      <c r="A742" s="17"/>
    </row>
    <row r="743" spans="1:1" ht="13.8">
      <c r="A743" s="17"/>
    </row>
    <row r="744" spans="1:1" ht="13.8">
      <c r="A744" s="17"/>
    </row>
    <row r="745" spans="1:1" ht="13.8">
      <c r="A745" s="17"/>
    </row>
    <row r="746" spans="1:1" ht="13.8">
      <c r="A746" s="17"/>
    </row>
    <row r="747" spans="1:1" ht="13.8">
      <c r="A747" s="17"/>
    </row>
    <row r="748" spans="1:1" ht="13.8">
      <c r="A748" s="17"/>
    </row>
    <row r="749" spans="1:1" ht="13.8">
      <c r="A749" s="17"/>
    </row>
    <row r="750" spans="1:1" ht="13.8">
      <c r="A750" s="17"/>
    </row>
    <row r="751" spans="1:1" ht="13.8">
      <c r="A751" s="17"/>
    </row>
    <row r="752" spans="1:1" ht="13.8">
      <c r="A752" s="17"/>
    </row>
    <row r="753" spans="1:1" ht="13.8">
      <c r="A753" s="17"/>
    </row>
    <row r="754" spans="1:1" ht="13.8">
      <c r="A754" s="17"/>
    </row>
    <row r="755" spans="1:1" ht="13.8">
      <c r="A755" s="17"/>
    </row>
    <row r="756" spans="1:1" ht="13.8">
      <c r="A756" s="17"/>
    </row>
    <row r="757" spans="1:1" ht="13.8">
      <c r="A757" s="17"/>
    </row>
    <row r="758" spans="1:1" ht="13.8">
      <c r="A758" s="17"/>
    </row>
    <row r="759" spans="1:1" ht="13.8">
      <c r="A759" s="17"/>
    </row>
    <row r="760" spans="1:1" ht="13.8">
      <c r="A760" s="17"/>
    </row>
    <row r="761" spans="1:1" ht="13.8">
      <c r="A761" s="17"/>
    </row>
    <row r="762" spans="1:1" ht="13.8">
      <c r="A762" s="17"/>
    </row>
    <row r="763" spans="1:1" ht="13.8">
      <c r="A763" s="17"/>
    </row>
    <row r="764" spans="1:1" ht="13.8">
      <c r="A764" s="17"/>
    </row>
    <row r="765" spans="1:1" ht="13.8">
      <c r="A765" s="17"/>
    </row>
    <row r="766" spans="1:1" ht="13.8">
      <c r="A766" s="17"/>
    </row>
    <row r="767" spans="1:1" ht="13.8">
      <c r="A767" s="17"/>
    </row>
    <row r="768" spans="1:1" ht="13.8">
      <c r="A768" s="17"/>
    </row>
    <row r="769" spans="1:1" ht="13.8">
      <c r="A769" s="17"/>
    </row>
    <row r="770" spans="1:1" ht="13.8">
      <c r="A770" s="17"/>
    </row>
    <row r="771" spans="1:1" ht="13.8">
      <c r="A771" s="17"/>
    </row>
    <row r="772" spans="1:1" ht="13.8">
      <c r="A772" s="17"/>
    </row>
    <row r="773" spans="1:1" ht="13.8">
      <c r="A773" s="17"/>
    </row>
    <row r="774" spans="1:1" ht="13.8">
      <c r="A774" s="17"/>
    </row>
    <row r="775" spans="1:1" ht="13.8">
      <c r="A775" s="17"/>
    </row>
    <row r="776" spans="1:1" ht="13.8">
      <c r="A776" s="17"/>
    </row>
    <row r="777" spans="1:1" ht="13.8">
      <c r="A777" s="17"/>
    </row>
    <row r="778" spans="1:1" ht="13.8">
      <c r="A778" s="17"/>
    </row>
    <row r="779" spans="1:1" ht="13.8">
      <c r="A779" s="17"/>
    </row>
    <row r="780" spans="1:1" ht="13.8">
      <c r="A780" s="17"/>
    </row>
    <row r="781" spans="1:1" ht="13.8">
      <c r="A781" s="17"/>
    </row>
    <row r="782" spans="1:1" ht="13.8">
      <c r="A782" s="17"/>
    </row>
    <row r="783" spans="1:1" ht="13.8">
      <c r="A783" s="17"/>
    </row>
    <row r="784" spans="1:1" ht="13.8">
      <c r="A784" s="17"/>
    </row>
    <row r="785" spans="1:1" ht="13.8">
      <c r="A785" s="17"/>
    </row>
    <row r="786" spans="1:1" ht="13.8">
      <c r="A786" s="17"/>
    </row>
    <row r="787" spans="1:1" ht="13.8">
      <c r="A787" s="17"/>
    </row>
    <row r="788" spans="1:1" ht="13.8">
      <c r="A788" s="17"/>
    </row>
    <row r="789" spans="1:1" ht="13.8">
      <c r="A789" s="17"/>
    </row>
    <row r="790" spans="1:1" ht="13.8">
      <c r="A79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Лист2 (копия)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Олексій Толстік</cp:lastModifiedBy>
  <dcterms:modified xsi:type="dcterms:W3CDTF">2025-11-10T17:15:43Z</dcterms:modified>
</cp:coreProperties>
</file>